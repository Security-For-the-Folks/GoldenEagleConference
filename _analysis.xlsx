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D1C8D7FC-6B38-4A0A-AF87-FCCA0A5F3BE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shboard" sheetId="2" r:id="rId1"/>
    <sheet name="0416 night snapshot" sheetId="4" r:id="rId2"/>
    <sheet name="0415 snapshot" sheetId="1" r:id="rId3"/>
    <sheet name="0416 snapshot" sheetId="3" r:id="rId4"/>
  </sheets>
  <definedNames>
    <definedName name="_xlnm._FilterDatabase" localSheetId="2" hidden="1">'0415 snapshot'!$A$1:$AB$92</definedName>
    <definedName name="_xlnm._FilterDatabase" localSheetId="3" hidden="1">'0416 snapshot'!$A$1:$AB$97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2" i="2" l="1"/>
  <c r="B141" i="2"/>
  <c r="B140" i="2"/>
  <c r="B138" i="2"/>
  <c r="T3" i="1"/>
  <c r="P3" i="1"/>
</calcChain>
</file>

<file path=xl/sharedStrings.xml><?xml version="1.0" encoding="utf-8"?>
<sst xmlns="http://schemas.openxmlformats.org/spreadsheetml/2006/main" count="6506" uniqueCount="811">
  <si>
    <t>Order ID</t>
  </si>
  <si>
    <t>Order date</t>
  </si>
  <si>
    <t>Attendee first name</t>
  </si>
  <si>
    <t>Attendee last name</t>
  </si>
  <si>
    <t>Attendee email</t>
  </si>
  <si>
    <t>Phone number</t>
  </si>
  <si>
    <t>Purchaser city</t>
  </si>
  <si>
    <t>Purchaser state</t>
  </si>
  <si>
    <t>Purchaser country</t>
  </si>
  <si>
    <t>Event name</t>
  </si>
  <si>
    <t>Event ID</t>
  </si>
  <si>
    <t>Event start date</t>
  </si>
  <si>
    <t>Event start time</t>
  </si>
  <si>
    <t>Event timezone</t>
  </si>
  <si>
    <t>Event location</t>
  </si>
  <si>
    <t>Ticket quantity</t>
  </si>
  <si>
    <t>Ticket tier</t>
  </si>
  <si>
    <t>Ticket type</t>
  </si>
  <si>
    <t>Currency</t>
  </si>
  <si>
    <t>Ticket price</t>
  </si>
  <si>
    <t>Buyer first name</t>
  </si>
  <si>
    <t>Buyer last name</t>
  </si>
  <si>
    <t>Buyer email</t>
  </si>
  <si>
    <t>Seating location 1</t>
  </si>
  <si>
    <t>Seating location 2</t>
  </si>
  <si>
    <t>Seating location 3</t>
  </si>
  <si>
    <t>Barcode number</t>
  </si>
  <si>
    <t>Guest</t>
  </si>
  <si>
    <t>14480359583</t>
  </si>
  <si>
    <t>2026-03-17 12:32:48</t>
  </si>
  <si>
    <t>Alexander</t>
  </si>
  <si>
    <t>Eppert</t>
  </si>
  <si>
    <t>alexandereppert@gmail.com</t>
  </si>
  <si>
    <t/>
  </si>
  <si>
    <t>Chicago</t>
  </si>
  <si>
    <t>IL</t>
  </si>
  <si>
    <t>US</t>
  </si>
  <si>
    <t>2026 Midwest OT Cybersecurity Summit</t>
  </si>
  <si>
    <t>1985023781566</t>
  </si>
  <si>
    <t>2026-04-24</t>
  </si>
  <si>
    <t>10:30:00</t>
  </si>
  <si>
    <t>America/Chicago</t>
  </si>
  <si>
    <t>Marquette University</t>
  </si>
  <si>
    <t>Early Bird: Professional</t>
  </si>
  <si>
    <t>USD</t>
  </si>
  <si>
    <t>1448035958322643517126001</t>
  </si>
  <si>
    <t>No</t>
  </si>
  <si>
    <t>14482854143</t>
  </si>
  <si>
    <t>2026-03-17 18:39:35</t>
  </si>
  <si>
    <t>Albert</t>
  </si>
  <si>
    <t>Asamoah</t>
  </si>
  <si>
    <t>albert.asamoah@marquette.edu</t>
  </si>
  <si>
    <t>Milwaukee</t>
  </si>
  <si>
    <t>WI</t>
  </si>
  <si>
    <t>MU Students (Sponsored: Marquette, 1st 25)</t>
  </si>
  <si>
    <t>1448285414322643964184001</t>
  </si>
  <si>
    <t>14499717083</t>
  </si>
  <si>
    <t>2026-03-20 00:55:58</t>
  </si>
  <si>
    <t>Raviroyashe</t>
  </si>
  <si>
    <t>Mahere</t>
  </si>
  <si>
    <t>raviroyashe.mahere@marquette.edu</t>
  </si>
  <si>
    <t>Minneapolis</t>
  </si>
  <si>
    <t>MN</t>
  </si>
  <si>
    <t>1449971708322646818931001</t>
  </si>
  <si>
    <t>14502862353</t>
  </si>
  <si>
    <t>2026-03-20 11:50:37</t>
  </si>
  <si>
    <t>Meng</t>
  </si>
  <si>
    <t>Thao</t>
  </si>
  <si>
    <t>mengthao@americanortho.com</t>
  </si>
  <si>
    <t>Sheboygan</t>
  </si>
  <si>
    <t>1450286235322647333375001</t>
  </si>
  <si>
    <t>1450286235322647333374001</t>
  </si>
  <si>
    <t>1450286235322647333373001</t>
  </si>
  <si>
    <t>14519918903</t>
  </si>
  <si>
    <t>2026-03-23 08:06:36</t>
  </si>
  <si>
    <t>Charles</t>
  </si>
  <si>
    <t>Woodward</t>
  </si>
  <si>
    <t>charles.woodward@directsupply.com</t>
  </si>
  <si>
    <t>1451991890322650108966001</t>
  </si>
  <si>
    <t>14520824213</t>
  </si>
  <si>
    <t>2026-03-23 10:26:07</t>
  </si>
  <si>
    <t>Janet</t>
  </si>
  <si>
    <t>Bodenbach</t>
  </si>
  <si>
    <t>janet.bodenbach@gmail.com</t>
  </si>
  <si>
    <t>Germantown</t>
  </si>
  <si>
    <t>1452082421322650243588001</t>
  </si>
  <si>
    <t>14533132763</t>
  </si>
  <si>
    <t>2026-03-24 23:57:47</t>
  </si>
  <si>
    <t>Spencer</t>
  </si>
  <si>
    <t>Christensen</t>
  </si>
  <si>
    <t>mocs2026.confidant327@passmail.net</t>
  </si>
  <si>
    <t>1453313276322652181404001</t>
  </si>
  <si>
    <t>14533148673</t>
  </si>
  <si>
    <t>2026-03-25 00:03:27</t>
  </si>
  <si>
    <t>Leyton</t>
  </si>
  <si>
    <t>leyton.meadows@marquette.edu</t>
  </si>
  <si>
    <t>Meadows</t>
  </si>
  <si>
    <t>1453314867322652183838001</t>
  </si>
  <si>
    <t>14543856393</t>
  </si>
  <si>
    <t>2026-03-26 11:18:52</t>
  </si>
  <si>
    <t>Owen</t>
  </si>
  <si>
    <t>Peterson</t>
  </si>
  <si>
    <t>o.peterson@marquette.edu</t>
  </si>
  <si>
    <t>1454385639322653913493001</t>
  </si>
  <si>
    <t>14552403623</t>
  </si>
  <si>
    <t>2026-03-27 13:12:03</t>
  </si>
  <si>
    <t>Kelly</t>
  </si>
  <si>
    <t>Yang</t>
  </si>
  <si>
    <t>kelly.k.yang@jci.com</t>
  </si>
  <si>
    <t>Oak Creek</t>
  </si>
  <si>
    <t>1455240362322655315506001</t>
  </si>
  <si>
    <t>14572773463</t>
  </si>
  <si>
    <t>2026-03-30 18:28:41</t>
  </si>
  <si>
    <t>Joshua</t>
  </si>
  <si>
    <t>Sharkey</t>
  </si>
  <si>
    <t>joshua.sharkey@milwaukee.isacachapter.org</t>
  </si>
  <si>
    <t>VA</t>
  </si>
  <si>
    <t>1457277346322658808362001</t>
  </si>
  <si>
    <t>14577741553</t>
  </si>
  <si>
    <t>2026-03-31 13:00:18</t>
  </si>
  <si>
    <t>Peter</t>
  </si>
  <si>
    <t>McLane</t>
  </si>
  <si>
    <t>peter.mclane@jci.com</t>
  </si>
  <si>
    <t>Reston</t>
  </si>
  <si>
    <t>1457774155322659857514001</t>
  </si>
  <si>
    <t>14578579883</t>
  </si>
  <si>
    <t>2026-03-31 14:58:50</t>
  </si>
  <si>
    <t>Aakash</t>
  </si>
  <si>
    <t>Patel</t>
  </si>
  <si>
    <t>aakash_patel@baxter.com</t>
  </si>
  <si>
    <t>Huntley</t>
  </si>
  <si>
    <t>Michael</t>
  </si>
  <si>
    <t>Stelzner</t>
  </si>
  <si>
    <t>michael_stelzner@baxter.com</t>
  </si>
  <si>
    <t>1457857988322659996554001</t>
  </si>
  <si>
    <t>1457857988322659996555001</t>
  </si>
  <si>
    <t>14578860033</t>
  </si>
  <si>
    <t>2026-03-31 15:39:28</t>
  </si>
  <si>
    <t>Steven</t>
  </si>
  <si>
    <t>Taylor</t>
  </si>
  <si>
    <t>sptaylor@rockwellautomation.com</t>
  </si>
  <si>
    <t>Lake Forest</t>
  </si>
  <si>
    <t>Community Sponsorship</t>
  </si>
  <si>
    <t>Meghan</t>
  </si>
  <si>
    <t>Ganzer</t>
  </si>
  <si>
    <t>meghan.ganzer@rockwellautomation.com</t>
  </si>
  <si>
    <t>1457886003322660040931001</t>
  </si>
  <si>
    <t>14584507883</t>
  </si>
  <si>
    <t>2026-04-01 11:10:32</t>
  </si>
  <si>
    <t>Tillman</t>
  </si>
  <si>
    <t>Petersen</t>
  </si>
  <si>
    <t>tillman.petersen@rockwellautomation.com</t>
  </si>
  <si>
    <t>1458450788322660985449001</t>
  </si>
  <si>
    <t>14588091613</t>
  </si>
  <si>
    <t>2026-04-01 19:21:51</t>
  </si>
  <si>
    <t>Info Requested</t>
  </si>
  <si>
    <t>John</t>
  </si>
  <si>
    <t>Omokayode</t>
  </si>
  <si>
    <t>john.omokayode@marquette.edu</t>
  </si>
  <si>
    <t>1458809161322661566152001</t>
  </si>
  <si>
    <t>14595817213</t>
  </si>
  <si>
    <t>2026-04-02 19:42:24</t>
  </si>
  <si>
    <t>Pass</t>
  </si>
  <si>
    <t>vmalkan@gmail.com</t>
  </si>
  <si>
    <t>Waukesha</t>
  </si>
  <si>
    <t>vikram@malkans.net</t>
  </si>
  <si>
    <t>1459581721322662842498001</t>
  </si>
  <si>
    <t>1459581721322662842497001</t>
  </si>
  <si>
    <t>1459581721322662842496001</t>
  </si>
  <si>
    <t>1459581721322662842499001</t>
  </si>
  <si>
    <t>14600462703</t>
  </si>
  <si>
    <t>2026-04-03 13:16:51</t>
  </si>
  <si>
    <t>Kyle</t>
  </si>
  <si>
    <t>Raymaker</t>
  </si>
  <si>
    <t>kyleraymaker39@gmail.com</t>
  </si>
  <si>
    <t>Madison</t>
  </si>
  <si>
    <t>Student Admission (Sponsored: NMDSI, 1st 25)</t>
  </si>
  <si>
    <t>1460046270322663669917001</t>
  </si>
  <si>
    <t>14600486663</t>
  </si>
  <si>
    <t>2026-04-03 13:20:12</t>
  </si>
  <si>
    <t>William</t>
  </si>
  <si>
    <t>Marcou</t>
  </si>
  <si>
    <t>william.marcou@marquette.edu</t>
  </si>
  <si>
    <t>Menomonee Falls</t>
  </si>
  <si>
    <t>Title Sponsorship</t>
  </si>
  <si>
    <t>Northwestern Mutual Data Science Institute</t>
  </si>
  <si>
    <t>William Marcou</t>
  </si>
  <si>
    <t>1460048666322663674072001</t>
  </si>
  <si>
    <t>14616696833</t>
  </si>
  <si>
    <t>2026-04-06 12:12:40</t>
  </si>
  <si>
    <t>David</t>
  </si>
  <si>
    <t>Plonka</t>
  </si>
  <si>
    <t>plonka@wiscnet.net</t>
  </si>
  <si>
    <t>1461669683322666408453001</t>
  </si>
  <si>
    <t>14623336623</t>
  </si>
  <si>
    <t>2026-04-07 11:05:50</t>
  </si>
  <si>
    <t>Blake</t>
  </si>
  <si>
    <t>Klemenhagen</t>
  </si>
  <si>
    <t>blake.klemenhagen@marquette.edu</t>
  </si>
  <si>
    <t>1462333662322667427559001</t>
  </si>
  <si>
    <t>14623337733</t>
  </si>
  <si>
    <t>2026-04-07 11:05:59</t>
  </si>
  <si>
    <t>Cristian</t>
  </si>
  <si>
    <t>Esquinca</t>
  </si>
  <si>
    <t>cristian.esquinca@marquette.edu</t>
  </si>
  <si>
    <t>1462333773322667427731001</t>
  </si>
  <si>
    <t>14623349573</t>
  </si>
  <si>
    <t>2026-04-07 11:07:34</t>
  </si>
  <si>
    <t>Danielle</t>
  </si>
  <si>
    <t>Idzi</t>
  </si>
  <si>
    <t>danielle.idzi@marquette.edu</t>
  </si>
  <si>
    <t>1462334957322667429504001</t>
  </si>
  <si>
    <t>14623360983</t>
  </si>
  <si>
    <t>2026-04-07 11:09:08</t>
  </si>
  <si>
    <t>Armaan</t>
  </si>
  <si>
    <t>Yazdani</t>
  </si>
  <si>
    <t>armaan.yazdani@marquette.edu</t>
  </si>
  <si>
    <t>1462336098322667431189001</t>
  </si>
  <si>
    <t>14623362313</t>
  </si>
  <si>
    <t>2026-04-07 11:09:21</t>
  </si>
  <si>
    <t>Ethan</t>
  </si>
  <si>
    <t>Jones</t>
  </si>
  <si>
    <t>e.jones@marquette.edu</t>
  </si>
  <si>
    <t>1462336231322667431398001</t>
  </si>
  <si>
    <t>14624053033</t>
  </si>
  <si>
    <t>2026-04-07 12:42:03</t>
  </si>
  <si>
    <t>Monte</t>
  </si>
  <si>
    <t>Alemu</t>
  </si>
  <si>
    <t>mathias.alemu@marquette.edu</t>
  </si>
  <si>
    <t>1462405303322667534455001</t>
  </si>
  <si>
    <t>14625719843</t>
  </si>
  <si>
    <t>2026-04-07 16:31:10</t>
  </si>
  <si>
    <t>Adam</t>
  </si>
  <si>
    <t>Weigold</t>
  </si>
  <si>
    <t>adam@irulast.com</t>
  </si>
  <si>
    <t>1462571984322667803593001</t>
  </si>
  <si>
    <t>14625782873</t>
  </si>
  <si>
    <t>2026-04-07 16:41:15</t>
  </si>
  <si>
    <t>chirag@malkansolutions.com</t>
  </si>
  <si>
    <t>Brookfield</t>
  </si>
  <si>
    <t>1462578287322667813293001</t>
  </si>
  <si>
    <t>14626595693</t>
  </si>
  <si>
    <t>2026-04-07 19:02:09</t>
  </si>
  <si>
    <t>Twardowski</t>
  </si>
  <si>
    <t>john.twardowski@infragard-wi.org</t>
  </si>
  <si>
    <t>1462659569322667937125001</t>
  </si>
  <si>
    <t>14626736493</t>
  </si>
  <si>
    <t>2026-04-07 19:19:25</t>
  </si>
  <si>
    <t>Tamieka</t>
  </si>
  <si>
    <t>Flowers</t>
  </si>
  <si>
    <t>tamiekaflowers@gmail.com</t>
  </si>
  <si>
    <t>1462673649322667954611001</t>
  </si>
  <si>
    <t>14630738233</t>
  </si>
  <si>
    <t>2026-04-08 10:14:31</t>
  </si>
  <si>
    <t>Mike</t>
  </si>
  <si>
    <t>Carpenter</t>
  </si>
  <si>
    <t>mike.carpenter@hydrite.com</t>
  </si>
  <si>
    <t>1463073823322668595512001</t>
  </si>
  <si>
    <t>14632140813</t>
  </si>
  <si>
    <t>2026-04-08 13:13:26</t>
  </si>
  <si>
    <t>Patrick</t>
  </si>
  <si>
    <t>Panarese</t>
  </si>
  <si>
    <t>patrick.panarese@marquette.edu</t>
  </si>
  <si>
    <t>1463214081322668809884001</t>
  </si>
  <si>
    <t>14632368733</t>
  </si>
  <si>
    <t>2026-04-08 13:41:03</t>
  </si>
  <si>
    <t>Nathan</t>
  </si>
  <si>
    <t>Phillips</t>
  </si>
  <si>
    <t>nathan.phillips@hydrite.com</t>
  </si>
  <si>
    <t>1463236873322668845185001</t>
  </si>
  <si>
    <t>14633049863</t>
  </si>
  <si>
    <t>2026-04-08 15:08:49</t>
  </si>
  <si>
    <t>Aedan</t>
  </si>
  <si>
    <t>Wilder</t>
  </si>
  <si>
    <t>awilder@gbp.com</t>
  </si>
  <si>
    <t>Green Bay</t>
  </si>
  <si>
    <t>1463304986322668952235001</t>
  </si>
  <si>
    <t>14633356293</t>
  </si>
  <si>
    <t>2026-04-08 15:51:01</t>
  </si>
  <si>
    <t>Shane</t>
  </si>
  <si>
    <t>Kroening</t>
  </si>
  <si>
    <t>shane.k@claroty.com</t>
  </si>
  <si>
    <t>1463335629322668998256001</t>
  </si>
  <si>
    <t>14635735183</t>
  </si>
  <si>
    <t>2026-04-08 23:10:22</t>
  </si>
  <si>
    <t>Madhu</t>
  </si>
  <si>
    <t>Expedith</t>
  </si>
  <si>
    <t>e_madhu@hotmail.com</t>
  </si>
  <si>
    <t>1463573518322669365275001</t>
  </si>
  <si>
    <t>14637895013</t>
  </si>
  <si>
    <t>2026-04-09 07:59:51</t>
  </si>
  <si>
    <t>Jeff</t>
  </si>
  <si>
    <t>Marshall</t>
  </si>
  <si>
    <t>jmarshall@vjscs.com</t>
  </si>
  <si>
    <t>Pewaukee</t>
  </si>
  <si>
    <t>1463789501322669676686001</t>
  </si>
  <si>
    <t>14640234633</t>
  </si>
  <si>
    <t>2026-04-09 13:11:34</t>
  </si>
  <si>
    <t>Naveen</t>
  </si>
  <si>
    <t>Yallempalle</t>
  </si>
  <si>
    <t>ynaveenreddy4802@gmail.com</t>
  </si>
  <si>
    <t>1464023463322670044552001</t>
  </si>
  <si>
    <t>14642390473</t>
  </si>
  <si>
    <t>2026-04-09 18:06:59</t>
  </si>
  <si>
    <t>Andy</t>
  </si>
  <si>
    <t>Yothsackda</t>
  </si>
  <si>
    <t>ayothsackda@marquette.edu</t>
  </si>
  <si>
    <t>1464239047322670394739001</t>
  </si>
  <si>
    <t>14642585283</t>
  </si>
  <si>
    <t>2026-04-09 18:41:24</t>
  </si>
  <si>
    <t>Nicholas</t>
  </si>
  <si>
    <t>Rugutt</t>
  </si>
  <si>
    <t>nicholas.rugutt@marquette.edu</t>
  </si>
  <si>
    <t>Kansas City</t>
  </si>
  <si>
    <t>MO</t>
  </si>
  <si>
    <t>1464258528322670439966001</t>
  </si>
  <si>
    <t>14642906293</t>
  </si>
  <si>
    <t>2026-04-09 19:38:46</t>
  </si>
  <si>
    <t>Faith</t>
  </si>
  <si>
    <t>faith.john@marquette.edu</t>
  </si>
  <si>
    <t>1464290629322670488291001</t>
  </si>
  <si>
    <t>14643408123</t>
  </si>
  <si>
    <t>2026-04-09 21:14:03</t>
  </si>
  <si>
    <t>James</t>
  </si>
  <si>
    <t>Vashiri</t>
  </si>
  <si>
    <t>james.vashiri@marquette.edu</t>
  </si>
  <si>
    <t>1464340812322670570454001</t>
  </si>
  <si>
    <t>14644133363</t>
  </si>
  <si>
    <t>2026-04-10 00:17:54</t>
  </si>
  <si>
    <t>Elijah</t>
  </si>
  <si>
    <t>DuMond</t>
  </si>
  <si>
    <t>elijahdumond@gmail.com</t>
  </si>
  <si>
    <t>1464413336322670684997001</t>
  </si>
  <si>
    <t>14646344513</t>
  </si>
  <si>
    <t>2026-04-10 08:42:18</t>
  </si>
  <si>
    <t>Ashaila</t>
  </si>
  <si>
    <t>Jackson</t>
  </si>
  <si>
    <t>ashaila.jackson@marquette.edu</t>
  </si>
  <si>
    <t>1464634451322671027204001</t>
  </si>
  <si>
    <t>14646473443</t>
  </si>
  <si>
    <t>2026-04-10 09:01:34</t>
  </si>
  <si>
    <t>Ihonesty</t>
  </si>
  <si>
    <t>Serrano</t>
  </si>
  <si>
    <t>aaserrano04@gmail.com</t>
  </si>
  <si>
    <t>1464647344322671047762001</t>
  </si>
  <si>
    <t>14647319883</t>
  </si>
  <si>
    <t>2026-04-10 10:57:42</t>
  </si>
  <si>
    <t>Aadi</t>
  </si>
  <si>
    <t>Jain</t>
  </si>
  <si>
    <t>aadichouchan@gmail.com</t>
  </si>
  <si>
    <t>1464731988322671182579001</t>
  </si>
  <si>
    <t>Parnika</t>
  </si>
  <si>
    <t>Settipalli</t>
  </si>
  <si>
    <t>parnikasettipalli@gmail.com</t>
  </si>
  <si>
    <t>1464731988322671182578001</t>
  </si>
  <si>
    <t>14647360163</t>
  </si>
  <si>
    <t>2026-04-10 11:01:49</t>
  </si>
  <si>
    <t>Tina</t>
  </si>
  <si>
    <t>Chang</t>
  </si>
  <si>
    <t>TCHANG@SYSLOGICINC.COM</t>
  </si>
  <si>
    <t>Wauwatosa</t>
  </si>
  <si>
    <t>1464736016322671188934001</t>
  </si>
  <si>
    <t>Gawrych</t>
  </si>
  <si>
    <t>dgawrych@SYSLOGICINC.COM</t>
  </si>
  <si>
    <t>1464736016322671188933001</t>
  </si>
  <si>
    <t>14647865643</t>
  </si>
  <si>
    <t>2026-04-10 12:02:33</t>
  </si>
  <si>
    <t>Karen</t>
  </si>
  <si>
    <t>Wurzel</t>
  </si>
  <si>
    <t>karen.wurzel@marquette.edu</t>
  </si>
  <si>
    <t>1464786564322671268274001</t>
  </si>
  <si>
    <t>14648578863</t>
  </si>
  <si>
    <t>2026-04-10 13:28:31</t>
  </si>
  <si>
    <t>Catherine</t>
  </si>
  <si>
    <t>Acton</t>
  </si>
  <si>
    <t>cacton@wgu.edu</t>
  </si>
  <si>
    <t>Verona</t>
  </si>
  <si>
    <t>1464857886322671384307001</t>
  </si>
  <si>
    <t>14648682173</t>
  </si>
  <si>
    <t>2026-04-10 13:41:04</t>
  </si>
  <si>
    <t>Soumyadeep</t>
  </si>
  <si>
    <t>Datta</t>
  </si>
  <si>
    <t>soumyadeep.datta10@gmail.com</t>
  </si>
  <si>
    <t>1464868217322671399653001</t>
  </si>
  <si>
    <t>1464868217322671399654001</t>
  </si>
  <si>
    <t>1464868217322671399655001</t>
  </si>
  <si>
    <t>1464868217322671399656001</t>
  </si>
  <si>
    <t>14649420423</t>
  </si>
  <si>
    <t>2026-04-10 15:07:50</t>
  </si>
  <si>
    <t>Dani</t>
  </si>
  <si>
    <t>Long</t>
  </si>
  <si>
    <t>danice.long@gmail.com</t>
  </si>
  <si>
    <t>1464942042322671518979001</t>
  </si>
  <si>
    <t>14650005793</t>
  </si>
  <si>
    <t>2026-04-10 16:26:20</t>
  </si>
  <si>
    <t>Omar</t>
  </si>
  <si>
    <t>Farghaly</t>
  </si>
  <si>
    <t>omar.farghaly@marquette.edu</t>
  </si>
  <si>
    <t>1465000579322671619316001</t>
  </si>
  <si>
    <t>1465000579322671619317001</t>
  </si>
  <si>
    <t>14652492063</t>
  </si>
  <si>
    <t>2026-04-11 00:39:10</t>
  </si>
  <si>
    <t>Raihan</t>
  </si>
  <si>
    <t>Mia</t>
  </si>
  <si>
    <t>mdraihan.mia@marquette.edu</t>
  </si>
  <si>
    <t>1465249206322672009099001</t>
  </si>
  <si>
    <t>14666174883</t>
  </si>
  <si>
    <t>2026-04-13 08:51:38</t>
  </si>
  <si>
    <t>New Berlin</t>
  </si>
  <si>
    <t>Frederick</t>
  </si>
  <si>
    <t>Frigo</t>
  </si>
  <si>
    <t>frederick.frigo@marquette.edu</t>
  </si>
  <si>
    <t>1466617488322674256765001</t>
  </si>
  <si>
    <t>14666871543</t>
  </si>
  <si>
    <t>2026-04-13 10:18:01</t>
  </si>
  <si>
    <t>1466687154322674366377001</t>
  </si>
  <si>
    <t>14667399633</t>
  </si>
  <si>
    <t>2026-04-13 11:25:49</t>
  </si>
  <si>
    <t>Tom</t>
  </si>
  <si>
    <t>Novello</t>
  </si>
  <si>
    <t>thomas.novello@pushsecurity.com</t>
  </si>
  <si>
    <t>Naperville</t>
  </si>
  <si>
    <t>1466739963322674449218001</t>
  </si>
  <si>
    <t>14667485963</t>
  </si>
  <si>
    <t>2026-04-13 11:36:35</t>
  </si>
  <si>
    <t>Andrea</t>
  </si>
  <si>
    <t>Strzelec</t>
  </si>
  <si>
    <t>strzelec@uscar.org</t>
  </si>
  <si>
    <t>Livonia</t>
  </si>
  <si>
    <t>MI</t>
  </si>
  <si>
    <t>1466748596322674462130001</t>
  </si>
  <si>
    <t>14667974013</t>
  </si>
  <si>
    <t>2026-04-13 12:37:04</t>
  </si>
  <si>
    <t>Christian</t>
  </si>
  <si>
    <t>Kumar</t>
  </si>
  <si>
    <t>yaboichris125@gmail.com</t>
  </si>
  <si>
    <t>1466797401322674535556001</t>
  </si>
  <si>
    <t>14668961273</t>
  </si>
  <si>
    <t>2026-04-13 14:40:48</t>
  </si>
  <si>
    <t>Brett</t>
  </si>
  <si>
    <t>Lerner</t>
  </si>
  <si>
    <t>bmlerner@fbi.gov</t>
  </si>
  <si>
    <t>Chirag</t>
  </si>
  <si>
    <t>Malkan</t>
  </si>
  <si>
    <t>1466896127322674692006001</t>
  </si>
  <si>
    <t>Thomas</t>
  </si>
  <si>
    <t>Gathman</t>
  </si>
  <si>
    <t>tdgathman@fbi.gov</t>
  </si>
  <si>
    <t>1466896127322674692007001</t>
  </si>
  <si>
    <t>14669003023</t>
  </si>
  <si>
    <t>2026-04-13 14:46:04</t>
  </si>
  <si>
    <t>Brian</t>
  </si>
  <si>
    <t>McGowan</t>
  </si>
  <si>
    <t>bdmcgowan@fbi.gov</t>
  </si>
  <si>
    <t>1466900302322674698640001</t>
  </si>
  <si>
    <t>14669453853</t>
  </si>
  <si>
    <t>2026-04-13 15:45:06</t>
  </si>
  <si>
    <t>Wilson</t>
  </si>
  <si>
    <t>von Bohlen</t>
  </si>
  <si>
    <t>wilson.vonbohlen@marquette.edu</t>
  </si>
  <si>
    <t>1466945385322674771986001</t>
  </si>
  <si>
    <t>14669709293</t>
  </si>
  <si>
    <t>2026-04-13 16:20:51</t>
  </si>
  <si>
    <t>Samya</t>
  </si>
  <si>
    <t>Acharja</t>
  </si>
  <si>
    <t>samya.acharja@marquette.edu</t>
  </si>
  <si>
    <t>1466970929322674815897001</t>
  </si>
  <si>
    <t>14674224243</t>
  </si>
  <si>
    <t>2026-04-14 08:09:18</t>
  </si>
  <si>
    <t>Selemani</t>
  </si>
  <si>
    <t>Mmbaga</t>
  </si>
  <si>
    <t>selemani.mmbaga@marquette.edu</t>
  </si>
  <si>
    <t>1467422424322675486682001</t>
  </si>
  <si>
    <t>14674990143</t>
  </si>
  <si>
    <t>2026-04-14 09:57:40</t>
  </si>
  <si>
    <t>Meaux</t>
  </si>
  <si>
    <t>adam.meaux@tcs.com</t>
  </si>
  <si>
    <t>1467499014322675604849001</t>
  </si>
  <si>
    <t>14675563553</t>
  </si>
  <si>
    <t>2026-04-14 11:09:56</t>
  </si>
  <si>
    <t>Matthew</t>
  </si>
  <si>
    <t>Cebasek</t>
  </si>
  <si>
    <t>matthewcebasek@gmail.com</t>
  </si>
  <si>
    <t>1467556355322675689730001</t>
  </si>
  <si>
    <t>14676260933</t>
  </si>
  <si>
    <t>2026-04-14 12:34:48</t>
  </si>
  <si>
    <t>Giannetos</t>
  </si>
  <si>
    <t>panogiannetos117@gmail.com</t>
  </si>
  <si>
    <t>1467626093322675792921001</t>
  </si>
  <si>
    <t>14676275313</t>
  </si>
  <si>
    <t>2026-04-14 12:36:33</t>
  </si>
  <si>
    <t>Giancarlo</t>
  </si>
  <si>
    <t>Passanante</t>
  </si>
  <si>
    <t>giancarlo.passanante@marquette.edu</t>
  </si>
  <si>
    <t>1467627531322675795296001</t>
  </si>
  <si>
    <t>14678745073</t>
  </si>
  <si>
    <t>2026-04-14 18:14:18</t>
  </si>
  <si>
    <t>Alyssa</t>
  </si>
  <si>
    <t>Lichty</t>
  </si>
  <si>
    <t>luxx.lys@icloud.com</t>
  </si>
  <si>
    <t>1467874507322676191670001</t>
  </si>
  <si>
    <t>14679980723</t>
  </si>
  <si>
    <t>2026-04-14 22:05:22</t>
  </si>
  <si>
    <t>Douglas</t>
  </si>
  <si>
    <t>Rutecki</t>
  </si>
  <si>
    <t>douglasrutecki@yahoo.com</t>
  </si>
  <si>
    <t>1467998072322676381982001</t>
  </si>
  <si>
    <t>14680232433</t>
  </si>
  <si>
    <t>2026-04-14 23:14:44</t>
  </si>
  <si>
    <t>Ryan</t>
  </si>
  <si>
    <t>Whipp</t>
  </si>
  <si>
    <t>rwhipp1@my.wctc.edu</t>
  </si>
  <si>
    <t>1468023243322676422956001</t>
  </si>
  <si>
    <t>14682580943</t>
  </si>
  <si>
    <t>2026-04-15 07:56:30</t>
  </si>
  <si>
    <t>Emily</t>
  </si>
  <si>
    <t>Graf</t>
  </si>
  <si>
    <t>emily.graf@ghostscale.com</t>
  </si>
  <si>
    <t>Janesville</t>
  </si>
  <si>
    <t>1468258094322676765430001</t>
  </si>
  <si>
    <t>14683059483</t>
  </si>
  <si>
    <t>2026-04-15 09:05:54</t>
  </si>
  <si>
    <t>Martha</t>
  </si>
  <si>
    <t>Moran</t>
  </si>
  <si>
    <t>martha.moran@marquette.edu</t>
  </si>
  <si>
    <t>1468305948322676837495001</t>
  </si>
  <si>
    <t>14685066173</t>
  </si>
  <si>
    <t>2026-04-15 13:19:17</t>
  </si>
  <si>
    <t>Lucas</t>
  </si>
  <si>
    <t>Renz</t>
  </si>
  <si>
    <t>luke.renz@hydrite.com</t>
  </si>
  <si>
    <t>1468506617322677148205001</t>
  </si>
  <si>
    <t>14685445333</t>
  </si>
  <si>
    <t>2026-04-15 14:05:29</t>
  </si>
  <si>
    <t>shuchi.wadhwa@schreiberfoods.com</t>
  </si>
  <si>
    <t>Shuchi</t>
  </si>
  <si>
    <t>Wadhwa</t>
  </si>
  <si>
    <t>1468544533322677208343001</t>
  </si>
  <si>
    <t>14685606223</t>
  </si>
  <si>
    <t>2026-04-15 14:25:18</t>
  </si>
  <si>
    <t>Tucker</t>
  </si>
  <si>
    <t>McNeal</t>
  </si>
  <si>
    <t>tucker.mcneal@marquette.edu</t>
  </si>
  <si>
    <t>1468560622322677233817001</t>
  </si>
  <si>
    <t>14685719343</t>
  </si>
  <si>
    <t>2026-04-15 14:39:13</t>
  </si>
  <si>
    <t>ABDIRAHMAN</t>
  </si>
  <si>
    <t>HABANE</t>
  </si>
  <si>
    <t>habaa17@uwgb.edu</t>
  </si>
  <si>
    <t>1468571934322677251333001</t>
  </si>
  <si>
    <t>14685727473</t>
  </si>
  <si>
    <t>2026-04-15 14:40:10</t>
  </si>
  <si>
    <t>JT</t>
  </si>
  <si>
    <t>Hollingsworth</t>
  </si>
  <si>
    <t>joseph.hollingsworth@marquette.edu</t>
  </si>
  <si>
    <t>1468572747322677252736001</t>
  </si>
  <si>
    <t>TOTALS</t>
  </si>
  <si>
    <t>SALES LEAD DATABASE</t>
  </si>
  <si>
    <t>2026 Midwest OT Cybersecurity Summit — Marquette University</t>
  </si>
  <si>
    <t>#</t>
  </si>
  <si>
    <t>First Name</t>
  </si>
  <si>
    <t>Last Name</t>
  </si>
  <si>
    <t>Email</t>
  </si>
  <si>
    <t>Organization</t>
  </si>
  <si>
    <t>Market / Industry</t>
  </si>
  <si>
    <t>City</t>
  </si>
  <si>
    <t>State</t>
  </si>
  <si>
    <t>Lead Type</t>
  </si>
  <si>
    <t>Ticket Type</t>
  </si>
  <si>
    <t>Ticket Price</t>
  </si>
  <si>
    <t>Registration Date</t>
  </si>
  <si>
    <t>Duplicate Flag</t>
  </si>
  <si>
    <t>Notes</t>
  </si>
  <si>
    <t>Professional</t>
  </si>
  <si>
    <t>Higher Education</t>
  </si>
  <si>
    <t>Student</t>
  </si>
  <si>
    <t>American Orthodontics</t>
  </si>
  <si>
    <t>Healthcare / Medical Devices</t>
  </si>
  <si>
    <t>Yes (3 tickets)</t>
  </si>
  <si>
    <t>Direct Supply</t>
  </si>
  <si>
    <t>Senior Living Technology</t>
  </si>
  <si>
    <t>Johnson Controls International</t>
  </si>
  <si>
    <t>Building Automation / Smart Buildings</t>
  </si>
  <si>
    <t>Milwaukee ISACA Chapter</t>
  </si>
  <si>
    <t>IT Governance / Audit</t>
  </si>
  <si>
    <t>Mclane</t>
  </si>
  <si>
    <t>Baxter International</t>
  </si>
  <si>
    <t>Healthcare / Pharmaceuticals</t>
  </si>
  <si>
    <t>Rockwell Automation</t>
  </si>
  <si>
    <t>Industrial Automation / OT</t>
  </si>
  <si>
    <t>Community Sponsor</t>
  </si>
  <si>
    <t>Yes (2 tickets: Community Sponsorship, Early Bird: Professional)</t>
  </si>
  <si>
    <t>info requested</t>
  </si>
  <si>
    <t>Vikram</t>
  </si>
  <si>
    <t>Malkan Solutions</t>
  </si>
  <si>
    <t>IT Consulting</t>
  </si>
  <si>
    <t>Title Sponsor</t>
  </si>
  <si>
    <t>WiscNet</t>
  </si>
  <si>
    <t>Education / Networking</t>
  </si>
  <si>
    <t>iRulast</t>
  </si>
  <si>
    <t>Technology</t>
  </si>
  <si>
    <t>InfraGard Wisconsin</t>
  </si>
  <si>
    <t>Cybersecurity / Public-Private Partnership</t>
  </si>
  <si>
    <t>Hydrite Chemical</t>
  </si>
  <si>
    <t>Chemical Manufacturing</t>
  </si>
  <si>
    <t>Green Bay Packaging</t>
  </si>
  <si>
    <t>Packaging / Manufacturing</t>
  </si>
  <si>
    <t>Claroty</t>
  </si>
  <si>
    <t>OT Cybersecurity</t>
  </si>
  <si>
    <t>VJS Construction Services</t>
  </si>
  <si>
    <t>Construction</t>
  </si>
  <si>
    <t>Dumond</t>
  </si>
  <si>
    <t>tchang@syslogicinc.com</t>
  </si>
  <si>
    <t>SysLogic Inc.</t>
  </si>
  <si>
    <t>IT Services / Managed Services</t>
  </si>
  <si>
    <t>dgawrych@syslogicinc.com</t>
  </si>
  <si>
    <t>Western Governors University</t>
  </si>
  <si>
    <t>Push Security</t>
  </si>
  <si>
    <t>IT Cybersecurity / SaaS</t>
  </si>
  <si>
    <t>USCAR</t>
  </si>
  <si>
    <t>Automotive R&amp;D</t>
  </si>
  <si>
    <t>FBI</t>
  </si>
  <si>
    <t>Federal Law Enforcement</t>
  </si>
  <si>
    <t>Mcgowan</t>
  </si>
  <si>
    <t>Tata Consultancy Services</t>
  </si>
  <si>
    <t>IT Services / Consulting</t>
  </si>
  <si>
    <t>Waukesha County Technical College</t>
  </si>
  <si>
    <t>Higher Education / Technical College</t>
  </si>
  <si>
    <t>Ghostscale</t>
  </si>
  <si>
    <t>Cybersecurity</t>
  </si>
  <si>
    <t>Schreiber Foods</t>
  </si>
  <si>
    <t>Food Manufacturing</t>
  </si>
  <si>
    <t>Mcneal</t>
  </si>
  <si>
    <t>Abdirahman</t>
  </si>
  <si>
    <t>Habane</t>
  </si>
  <si>
    <t>University of Wisconsin-Green Bay</t>
  </si>
  <si>
    <t>Jt</t>
  </si>
  <si>
    <t>SUMMARY DASHBOARD</t>
  </si>
  <si>
    <t>Lead Type Breakdown</t>
  </si>
  <si>
    <t>Healthcare</t>
  </si>
  <si>
    <t>Other / Personal Email</t>
  </si>
  <si>
    <t>Geography</t>
  </si>
  <si>
    <t>Wisconsin</t>
  </si>
  <si>
    <t>Illinois</t>
  </si>
  <si>
    <t>Data Quality Flags</t>
  </si>
  <si>
    <t>COMMUNITY SPONSORS (3)</t>
  </si>
  <si>
    <t>Invited Guest</t>
  </si>
  <si>
    <t>Kajal</t>
  </si>
  <si>
    <t>Care4Me Clinics</t>
  </si>
  <si>
    <t>Kashyap</t>
  </si>
  <si>
    <t>MalkanSolutions</t>
  </si>
  <si>
    <t>MU Volunteer</t>
  </si>
  <si>
    <t>Debbie</t>
  </si>
  <si>
    <t>Finite State</t>
  </si>
  <si>
    <t>Cybersecurity / IoT</t>
  </si>
  <si>
    <t>Sr. Dir. Solutions Architecture (via LinkedIn)</t>
  </si>
  <si>
    <t>LinkedIn: not found</t>
  </si>
  <si>
    <t>Wind River</t>
  </si>
  <si>
    <t>Embedded Systems / IoT</t>
  </si>
  <si>
    <t>Head of Engineering Excellence (via LinkedIn)</t>
  </si>
  <si>
    <t>TEKsystems</t>
  </si>
  <si>
    <t>IT Staffing / Cybersecurity</t>
  </si>
  <si>
    <t>K-12 cybersecurity programs (via LinkedIn)</t>
  </si>
  <si>
    <t>Yes (2 tickets: MU Students, Student Admission)</t>
  </si>
  <si>
    <t>Colorado Technical University</t>
  </si>
  <si>
    <t>Moved from Professionals; Colorado Tech Uni student</t>
  </si>
  <si>
    <t>Jessica</t>
  </si>
  <si>
    <t>Jason</t>
  </si>
  <si>
    <t>Kevin</t>
  </si>
  <si>
    <t>Invited Guests</t>
  </si>
  <si>
    <t>Community Sponsors</t>
  </si>
  <si>
    <t>Professionals</t>
  </si>
  <si>
    <t>Students</t>
  </si>
  <si>
    <t>TOTAL</t>
  </si>
  <si>
    <t>Revenue Summary</t>
  </si>
  <si>
    <t>Total Ticket Revenue</t>
  </si>
  <si>
    <t>Avg. Price (Paid)</t>
  </si>
  <si>
    <t>Free / Sponsored</t>
  </si>
  <si>
    <t>Top Markets</t>
  </si>
  <si>
    <t>Healthcare (all)</t>
  </si>
  <si>
    <t>Building Automation</t>
  </si>
  <si>
    <t>Cybersecurity (all)</t>
  </si>
  <si>
    <t>Other States</t>
  </si>
  <si>
    <t>Duplicate Leads (flagged)</t>
  </si>
  <si>
    <t>New Additions (no email)</t>
  </si>
  <si>
    <t>Volunteers Identified</t>
  </si>
  <si>
    <t>TITLE SPONSORS (2)</t>
  </si>
  <si>
    <t>Dan</t>
  </si>
  <si>
    <t>Bailey</t>
  </si>
  <si>
    <t>IBM / AWS</t>
  </si>
  <si>
    <t>Cloud / IT Services</t>
  </si>
  <si>
    <t>Civil Engineering</t>
  </si>
  <si>
    <t>Eriksson Engineering Associates</t>
  </si>
  <si>
    <t>P.E. — Project Engineer (Civil)</t>
  </si>
  <si>
    <t>FBI — Keynote Speaker: Counterintelligence, WMD, and Cyber Programs (11:45 AM)</t>
  </si>
  <si>
    <t>Speaker — OT Threat Modeling and Risk Prioritization (2:00 PM, Room 227)</t>
  </si>
  <si>
    <t>Speaker — Firewall Hygiene to Network Segmentation (1:20 PM, Room 227)</t>
  </si>
  <si>
    <t>Speaker — OT Device Penetration Testing Basics (12:40 PM, Room 252)</t>
  </si>
  <si>
    <t>Speaker — Practical Security That Scales: Automation, Risk, and Real-World Execution (3:20 PM, Room 252)</t>
  </si>
  <si>
    <t>Speaker — Securing the Digital Handshake in Hiring and Sales (2:40 PM, Room 252)</t>
  </si>
  <si>
    <t>Speaker — Advanced IT Risk Management Strategies (2:00 PM, Room 252), co-presenting with Jeni Herrera</t>
  </si>
  <si>
    <t>Volunteer; Shoshana Wodzisz (Malkan Solutions) speaking at 12:40 PM — OT Cybersecurity GRC</t>
  </si>
  <si>
    <t>meadows</t>
  </si>
  <si>
    <t>vikram</t>
  </si>
  <si>
    <t>malkan</t>
  </si>
  <si>
    <t>chirag</t>
  </si>
  <si>
    <t>Shuchi Wadhwa</t>
  </si>
  <si>
    <t>Hamza</t>
  </si>
  <si>
    <t>Maalaoui</t>
  </si>
  <si>
    <t>hamza.maalaoui.marketing@gmail.com</t>
  </si>
  <si>
    <t>Tunis</t>
  </si>
  <si>
    <t>TN</t>
  </si>
  <si>
    <t>Deepak</t>
  </si>
  <si>
    <t>Babu</t>
  </si>
  <si>
    <t>deepak@sabhyatech.com</t>
  </si>
  <si>
    <t>Eyer</t>
  </si>
  <si>
    <t>johneyer2031@gmail.com</t>
  </si>
  <si>
    <t>Lagore</t>
  </si>
  <si>
    <t>albert.lagore@gmail.com</t>
  </si>
  <si>
    <t>Sabhya Tech</t>
  </si>
  <si>
    <t>INVITED GUESTS (7)</t>
  </si>
  <si>
    <t>Guest pass — Vikram Malkan's guests (3 tickets, names not provided)</t>
  </si>
  <si>
    <t>Color Legend</t>
  </si>
  <si>
    <t>Speaker</t>
  </si>
  <si>
    <t>Purple row = confirmed summit speaker</t>
  </si>
  <si>
    <t>Volunteer</t>
  </si>
  <si>
    <t>Green row = MU volunteer / event support</t>
  </si>
  <si>
    <t>Guest Pass</t>
  </si>
  <si>
    <t>Yellow row = unnamed guest pass (Vikram Malkan)</t>
  </si>
  <si>
    <t>Even Row</t>
  </si>
  <si>
    <t>Blue row = standard alternating row color</t>
  </si>
  <si>
    <t>Tunisia</t>
  </si>
  <si>
    <t>Rockwell</t>
  </si>
  <si>
    <t>Automation</t>
  </si>
  <si>
    <t>Tyler</t>
  </si>
  <si>
    <t>Messner</t>
  </si>
  <si>
    <t>Evans</t>
  </si>
  <si>
    <t>mevans@americanortho.com</t>
  </si>
  <si>
    <t>tmessner@americanortho.com</t>
  </si>
  <si>
    <t>Vikram's Guest</t>
  </si>
  <si>
    <t>American Orthopedics</t>
  </si>
  <si>
    <t>Ticket purchased by Meng Thao (American Ortho colleague)</t>
  </si>
  <si>
    <t>MU Student</t>
  </si>
  <si>
    <t>Originally bought 9 tickets; reduced to 1 (flagged as suspicious)</t>
  </si>
  <si>
    <t>Bought 4 tickets total; 3 remain unnamed (Info Requested)</t>
  </si>
  <si>
    <t>Bought tickets for Tyler Messner &amp; Michael Evans (American Ortho colleagues)</t>
  </si>
  <si>
    <t>1 guest (Student Admission) — attendee name pending</t>
  </si>
  <si>
    <t>Yes (5 unnamed tickets)</t>
  </si>
  <si>
    <t>5 attendees pending: Omar Farghaly's 1 guest (Student Admission), Soumyadeep Datta's 3 guests (Student Admission), Hamza Maalaoui's 1 guest (Student Admission)</t>
  </si>
  <si>
    <t>International student (Tunisia); 1 guest (Student Admission) — attendee name pending</t>
  </si>
  <si>
    <t>MARQUETTE UNIVERSITY STUDENTS (35)</t>
  </si>
  <si>
    <t>dan.bailey@ibm.com</t>
  </si>
  <si>
    <t>Steve</t>
  </si>
  <si>
    <t>Sweeney</t>
  </si>
  <si>
    <t>ssweeney@fortinet.com</t>
  </si>
  <si>
    <t>Dallas</t>
  </si>
  <si>
    <t>TX</t>
  </si>
  <si>
    <t>Colin</t>
  </si>
  <si>
    <t>Lorentzen</t>
  </si>
  <si>
    <t>colin.lorentzen@protonmail.com</t>
  </si>
  <si>
    <t>Morton Grove</t>
  </si>
  <si>
    <t>Tarani</t>
  </si>
  <si>
    <t>Neelapu</t>
  </si>
  <si>
    <t>tneelapu@uwm.edu</t>
  </si>
  <si>
    <t>Kliemann</t>
  </si>
  <si>
    <t>david.kliemann@marquette.edu</t>
  </si>
  <si>
    <t>Muskego</t>
  </si>
  <si>
    <t>Aly</t>
  </si>
  <si>
    <t>Farooqui</t>
  </si>
  <si>
    <t>aly.farooqui@ibm.com</t>
  </si>
  <si>
    <t>Hunter</t>
  </si>
  <si>
    <t>Schultz</t>
  </si>
  <si>
    <t>schultzoverwatch@gmail.com</t>
  </si>
  <si>
    <t>Zampino</t>
  </si>
  <si>
    <t>david.zampino@infragard-wi.org</t>
  </si>
  <si>
    <t>kajal@care4meclinics.com</t>
  </si>
  <si>
    <t>Mital</t>
  </si>
  <si>
    <t>mital@malkansolutions.com</t>
  </si>
  <si>
    <t>kashyap@malkansolutions.com</t>
  </si>
  <si>
    <t>Monika</t>
  </si>
  <si>
    <t>Cox</t>
  </si>
  <si>
    <t>monika.cox@marquette.edu</t>
  </si>
  <si>
    <t>Perouli</t>
  </si>
  <si>
    <t>despoina.perouli@marquette.edu</t>
  </si>
  <si>
    <t>Chief Medical Officer; registered 04/16 with $25 Professional ticket</t>
  </si>
  <si>
    <t>Chief Audit Officer; registered 04/16 with $25 Professional ticket; also bought ticket for Mital Malkan</t>
  </si>
  <si>
    <t>MU Volunteer; registered 04/16 with $25 Professional ticket (bought by Debbie Perouli)</t>
  </si>
  <si>
    <t>MU Volunteer; registered 04/16 with $25 Professional ticket; also bought ticket for Monika Cox</t>
  </si>
  <si>
    <t>Yes (2 extra tickets: Early Bird Prof $25 each)</t>
  </si>
  <si>
    <t>IBM speaker — OT System Security (2:40 PM, Room 227); also registered 2x Early Bird Professional $25 (duplicate order)</t>
  </si>
  <si>
    <t>Fortinet</t>
  </si>
  <si>
    <t>University of Wisconsin-Milwaukee</t>
  </si>
  <si>
    <t>IBM</t>
  </si>
  <si>
    <t>Ticket purchased by Kashyap Malkan</t>
  </si>
  <si>
    <t>PROFESSIONALS (39)</t>
  </si>
  <si>
    <t>OTHER STUDENTS (16)</t>
  </si>
  <si>
    <t>Orange row = attendee info pending from buyer</t>
  </si>
  <si>
    <t>New Additions (night snapshot)</t>
  </si>
  <si>
    <t>Dan's Guest</t>
  </si>
  <si>
    <t>Northwestern Mutual</t>
  </si>
  <si>
    <t>Insurance</t>
  </si>
  <si>
    <t>Assistant Director of Cybersecurity (via LinkedIn)</t>
  </si>
  <si>
    <t>Catalent</t>
  </si>
  <si>
    <t>Pharmaceutical Manufacturing</t>
  </si>
  <si>
    <t>jason.reatherford@marquette.edu</t>
  </si>
  <si>
    <t>Reatherford</t>
  </si>
  <si>
    <t>jessica.ottor@marquette.edu</t>
  </si>
  <si>
    <t>ottor</t>
  </si>
  <si>
    <t>kevin.umba@marquette.edu</t>
  </si>
  <si>
    <t>Umba</t>
  </si>
  <si>
    <t>103 unique attendees from 0416 night snapshot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</si>
</sst>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$&quot;#,##0"/>
  </numFmts>
  <fonts count="1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1F4E79"/>
      <name val="Calibri"/>
      <family val="2"/>
      <scheme val="minor"/>
    </font>
    <font>
      <i/>
      <sz val="11"/>
      <color rgb="FF4472C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2F549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8D5F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999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F4E7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3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0" fillId="4" borderId="0" xfId="0" applyFill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2" fontId="0" fillId="0" borderId="0" xfId="0" applyNumberFormat="1"/>
    <xf numFmtId="0" fontId="6" fillId="5" borderId="0" xfId="0" applyFont="1" applyFill="1"/>
    <xf numFmtId="0" fontId="0" fillId="5" borderId="0" xfId="0" applyFill="1"/>
    <xf numFmtId="164" fontId="0" fillId="0" borderId="0" xfId="0" applyNumberFormat="1"/>
    <xf numFmtId="0" fontId="7" fillId="0" borderId="0" xfId="0" applyFont="1"/>
    <xf numFmtId="0" fontId="0" fillId="6" borderId="0" xfId="0" applyFill="1"/>
    <xf numFmtId="164" fontId="0" fillId="6" borderId="0" xfId="0" applyNumberFormat="1" applyFill="1"/>
    <xf numFmtId="0" fontId="0" fillId="3" borderId="0" xfId="0" applyFill="1"/>
    <xf numFmtId="164" fontId="0" fillId="3" borderId="0" xfId="0" applyNumberFormat="1" applyFill="1"/>
    <xf numFmtId="164" fontId="0" fillId="4" borderId="0" xfId="0" applyNumberFormat="1" applyFill="1"/>
    <xf numFmtId="0" fontId="0" fillId="7" borderId="0" xfId="0" applyFill="1"/>
    <xf numFmtId="164" fontId="0" fillId="7" borderId="0" xfId="0" applyNumberFormat="1" applyFill="1"/>
    <xf numFmtId="0" fontId="0" fillId="8" borderId="0" xfId="0" applyFill="1"/>
    <xf numFmtId="165" fontId="0" fillId="6" borderId="0" xfId="0" applyNumberFormat="1" applyFill="1"/>
    <xf numFmtId="165" fontId="0" fillId="3" borderId="0" xfId="0" applyNumberFormat="1" applyFill="1"/>
    <xf numFmtId="165" fontId="0" fillId="4" borderId="0" xfId="0" applyNumberFormat="1" applyFill="1"/>
    <xf numFmtId="165" fontId="0" fillId="8" borderId="0" xfId="0" applyNumberFormat="1" applyFill="1"/>
    <xf numFmtId="165" fontId="0" fillId="0" borderId="0" xfId="0" applyNumberFormat="1"/>
    <xf numFmtId="165" fontId="0" fillId="5" borderId="0" xfId="0" applyNumberFormat="1" applyFill="1"/>
    <xf numFmtId="165" fontId="0" fillId="7" borderId="0" xfId="0" applyNumberFormat="1" applyFill="1"/>
    <xf numFmtId="164" fontId="0" fillId="8" borderId="0" xfId="0" applyNumberFormat="1" applyFill="1"/>
    <xf numFmtId="164" fontId="0" fillId="5" borderId="0" xfId="0" applyNumberFormat="1" applyFill="1"/>
    <xf numFmtId="0" fontId="8" fillId="9" borderId="0" xfId="0" applyFont="1" applyFill="1"/>
    <xf numFmtId="0" fontId="0" fillId="9" borderId="0" xfId="0" applyFill="1"/>
    <xf numFmtId="0" fontId="9" fillId="0" borderId="0" xfId="0" applyFont="1"/>
    <xf numFmtId="0" fontId="11" fillId="0" borderId="0" xfId="0" applyFont="1"/>
    <xf numFmtId="22" fontId="11" fillId="0" borderId="0" xfId="0" applyNumberFormat="1" applyFont="1"/>
    <xf numFmtId="14" fontId="11" fillId="0" borderId="0" xfId="0" applyNumberFormat="1" applyFont="1"/>
    <xf numFmtId="21" fontId="11" fillId="0" borderId="0" xfId="0" applyNumberFormat="1" applyFont="1"/>
    <xf numFmtId="0" fontId="12" fillId="0" borderId="0" xfId="0" applyFont="1"/>
    <xf numFmtId="0" fontId="0" fillId="10" borderId="0" xfId="0" applyFill="1"/>
    <xf numFmtId="165" fontId="0" fillId="10" borderId="0" xfId="0" applyNumberFormat="1" applyFill="1"/>
    <xf numFmtId="164" fontId="0" fillId="10" borderId="0" xfId="0" applyNumberFormat="1" applyFill="1"/>
    <xf numFmtId="0" fontId="13" fillId="6" borderId="0" xfId="0" applyFont="1" applyFill="1"/>
    <xf numFmtId="0" fontId="11" fillId="6" borderId="0" xfId="0" applyFont="1" applyFill="1"/>
    <xf numFmtId="165" fontId="11" fillId="6" borderId="0" xfId="0" applyNumberFormat="1" applyFont="1" applyFill="1"/>
    <xf numFmtId="164" fontId="11" fillId="6" borderId="0" xfId="0" applyNumberFormat="1" applyFont="1" applyFill="1"/>
    <xf numFmtId="0" fontId="3" fillId="6" borderId="0" xfId="1" applyFill="1"/>
    <xf numFmtId="0" fontId="10" fillId="11" borderId="0" xfId="0" applyFont="1" applyFill="1"/>
    <xf numFmtId="0" fontId="11" fillId="11" borderId="0" xfId="0" applyFont="1" applyFill="1"/>
    <xf numFmtId="22" fontId="11" fillId="11" borderId="0" xfId="0" applyNumberFormat="1" applyFont="1" applyFill="1"/>
    <xf numFmtId="14" fontId="11" fillId="11" borderId="0" xfId="0" applyNumberFormat="1" applyFont="1" applyFill="1"/>
    <xf numFmtId="21" fontId="11" fillId="11" borderId="0" xfId="0" applyNumberFormat="1" applyFont="1" applyFill="1"/>
    <xf numFmtId="22" fontId="10" fillId="11" borderId="0" xfId="0" applyNumberFormat="1" applyFont="1" applyFill="1"/>
    <xf numFmtId="14" fontId="10" fillId="11" borderId="0" xfId="0" applyNumberFormat="1" applyFont="1" applyFill="1"/>
    <xf numFmtId="21" fontId="10" fillId="11" borderId="0" xfId="0" applyNumberFormat="1" applyFont="1" applyFill="1"/>
    <xf numFmtId="0" fontId="10" fillId="12" borderId="0" xfId="0" applyFont="1" applyFill="1"/>
    <xf numFmtId="22" fontId="10" fillId="12" borderId="0" xfId="0" applyNumberFormat="1" applyFont="1" applyFill="1"/>
    <xf numFmtId="14" fontId="10" fillId="12" borderId="0" xfId="0" applyNumberFormat="1" applyFont="1" applyFill="1"/>
    <xf numFmtId="21" fontId="10" fillId="12" borderId="0" xfId="0" applyNumberFormat="1" applyFont="1" applyFill="1"/>
    <xf numFmtId="0" fontId="0" fillId="0" borderId="0" xfId="0" applyFill="1"/>
    <xf numFmtId="165" fontId="0" fillId="0" borderId="0" xfId="0" applyNumberFormat="1" applyFill="1"/>
    <xf numFmtId="164" fontId="0" fillId="0" borderId="0" xfId="0" applyNumberFormat="1" applyFill="1"/>
    <xf numFmtId="0" fontId="14" fillId="0" borderId="0" xfId="0" applyFont="1"/>
    <xf numFmtId="0" fontId="3" fillId="8" borderId="0" xfId="1" applyFill="1"/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953167C-BD7D-4011-B2B4-38A22C0CC99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1e9d508-2a0e-4267-a518-6a975e52956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son.reatherford@marquette.edu" TargetMode="External"/><Relationship Id="rId2" Type="http://schemas.openxmlformats.org/officeDocument/2006/relationships/hyperlink" Target="mailto:alexandereppert@gmail.com" TargetMode="External"/><Relationship Id="rId1" Type="http://schemas.openxmlformats.org/officeDocument/2006/relationships/hyperlink" Target="mailto:tamiekaflowers@gmail.com" TargetMode="External"/><Relationship Id="rId5" Type="http://schemas.openxmlformats.org/officeDocument/2006/relationships/hyperlink" Target="mailto:kevin.umba@marquette.edu" TargetMode="External"/><Relationship Id="rId4" Type="http://schemas.openxmlformats.org/officeDocument/2006/relationships/hyperlink" Target="mailto:jessica.ottor@marquette.edu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E4FBA-D388-4806-ADF0-13928F48C4CE}">
  <dimension ref="A1:N162"/>
  <sheetViews>
    <sheetView tabSelected="1" zoomScale="85" zoomScaleNormal="85" workbookViewId="0">
      <pane ySplit="5" topLeftCell="A87" activePane="bottomLeft" state="frozen"/>
      <selection pane="bottomLeft" activeCell="C146" sqref="C146"/>
    </sheetView>
  </sheetViews>
  <sheetFormatPr defaultRowHeight="15" outlineLevelRow="1" x14ac:dyDescent="0.25"/>
  <cols>
    <col min="1" max="1" width="22.42578125" customWidth="1"/>
    <col min="2" max="2" width="20.42578125" customWidth="1"/>
    <col min="3" max="3" width="15.42578125" customWidth="1"/>
    <col min="4" max="4" width="35.42578125" customWidth="1"/>
    <col min="5" max="6" width="29.140625" customWidth="1"/>
    <col min="7" max="7" width="15.42578125" customWidth="1"/>
    <col min="8" max="8" width="6.42578125" customWidth="1"/>
    <col min="9" max="9" width="17.28515625" customWidth="1"/>
    <col min="10" max="10" width="28.140625" customWidth="1"/>
    <col min="11" max="11" width="11.85546875" customWidth="1"/>
    <col min="12" max="12" width="14.5703125" customWidth="1"/>
    <col min="13" max="13" width="21.85546875" customWidth="1"/>
    <col min="14" max="14" width="92.85546875" bestFit="1" customWidth="1"/>
  </cols>
  <sheetData>
    <row r="1" spans="1:14" ht="21" x14ac:dyDescent="0.35">
      <c r="A1" s="2" t="s">
        <v>557</v>
      </c>
    </row>
    <row r="2" spans="1:14" x14ac:dyDescent="0.25">
      <c r="A2" s="3" t="s">
        <v>558</v>
      </c>
    </row>
    <row r="3" spans="1:14" x14ac:dyDescent="0.25">
      <c r="A3" s="12" t="s">
        <v>810</v>
      </c>
    </row>
    <row r="5" spans="1:14" ht="15.75" thickBot="1" x14ac:dyDescent="0.3">
      <c r="A5" s="6" t="s">
        <v>559</v>
      </c>
      <c r="B5" s="7" t="s">
        <v>560</v>
      </c>
      <c r="C5" s="7" t="s">
        <v>561</v>
      </c>
      <c r="D5" s="7" t="s">
        <v>562</v>
      </c>
      <c r="E5" s="7" t="s">
        <v>563</v>
      </c>
      <c r="F5" s="7" t="s">
        <v>564</v>
      </c>
      <c r="G5" s="7" t="s">
        <v>565</v>
      </c>
      <c r="H5" s="7" t="s">
        <v>566</v>
      </c>
      <c r="I5" s="7" t="s">
        <v>567</v>
      </c>
      <c r="J5" s="7" t="s">
        <v>568</v>
      </c>
      <c r="K5" s="7" t="s">
        <v>569</v>
      </c>
      <c r="L5" s="7" t="s">
        <v>570</v>
      </c>
      <c r="M5" s="7" t="s">
        <v>571</v>
      </c>
      <c r="N5" s="7" t="s">
        <v>572</v>
      </c>
    </row>
    <row r="6" spans="1:14" x14ac:dyDescent="0.25">
      <c r="A6" s="9" t="s">
        <v>720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outlineLevel="1" x14ac:dyDescent="0.25">
      <c r="A7" s="38">
        <v>1</v>
      </c>
      <c r="B7" s="38" t="s">
        <v>445</v>
      </c>
      <c r="C7" s="38" t="s">
        <v>446</v>
      </c>
      <c r="D7" s="38" t="s">
        <v>447</v>
      </c>
      <c r="E7" s="38" t="s">
        <v>621</v>
      </c>
      <c r="F7" s="38" t="s">
        <v>622</v>
      </c>
      <c r="G7" s="38" t="s">
        <v>52</v>
      </c>
      <c r="H7" s="38" t="s">
        <v>53</v>
      </c>
      <c r="I7" s="38" t="s">
        <v>646</v>
      </c>
      <c r="J7" s="38" t="s">
        <v>43</v>
      </c>
      <c r="K7" s="39">
        <v>25</v>
      </c>
      <c r="L7" s="40">
        <v>46125</v>
      </c>
      <c r="M7" s="38"/>
      <c r="N7" s="38" t="s">
        <v>694</v>
      </c>
    </row>
    <row r="8" spans="1:14" outlineLevel="1" x14ac:dyDescent="0.25">
      <c r="A8" s="38">
        <v>2</v>
      </c>
      <c r="B8" s="38" t="s">
        <v>439</v>
      </c>
      <c r="C8" s="38" t="s">
        <v>440</v>
      </c>
      <c r="D8" s="38" t="s">
        <v>441</v>
      </c>
      <c r="E8" s="38" t="s">
        <v>621</v>
      </c>
      <c r="F8" s="38" t="s">
        <v>622</v>
      </c>
      <c r="G8" s="38" t="s">
        <v>52</v>
      </c>
      <c r="H8" s="38" t="s">
        <v>53</v>
      </c>
      <c r="I8" s="38" t="s">
        <v>646</v>
      </c>
      <c r="J8" s="38" t="s">
        <v>43</v>
      </c>
      <c r="K8" s="39">
        <v>25</v>
      </c>
      <c r="L8" s="40">
        <v>46125</v>
      </c>
      <c r="M8" s="38"/>
      <c r="N8" s="38" t="s">
        <v>694</v>
      </c>
    </row>
    <row r="9" spans="1:14" outlineLevel="1" x14ac:dyDescent="0.25">
      <c r="A9" s="38">
        <v>3</v>
      </c>
      <c r="B9" s="38" t="s">
        <v>451</v>
      </c>
      <c r="C9" s="38" t="s">
        <v>623</v>
      </c>
      <c r="D9" s="38" t="s">
        <v>453</v>
      </c>
      <c r="E9" s="38" t="s">
        <v>621</v>
      </c>
      <c r="F9" s="38" t="s">
        <v>622</v>
      </c>
      <c r="G9" s="38" t="s">
        <v>52</v>
      </c>
      <c r="H9" s="38" t="s">
        <v>53</v>
      </c>
      <c r="I9" s="38" t="s">
        <v>646</v>
      </c>
      <c r="J9" s="38" t="s">
        <v>43</v>
      </c>
      <c r="K9" s="39">
        <v>25</v>
      </c>
      <c r="L9" s="40">
        <v>46125</v>
      </c>
      <c r="M9" s="38"/>
      <c r="N9" s="38" t="s">
        <v>694</v>
      </c>
    </row>
    <row r="10" spans="1:14" outlineLevel="1" x14ac:dyDescent="0.25">
      <c r="A10" s="5"/>
      <c r="B10" s="5" t="s">
        <v>27</v>
      </c>
      <c r="C10" s="5" t="s">
        <v>162</v>
      </c>
      <c r="D10" s="5" t="s">
        <v>163</v>
      </c>
      <c r="E10" s="5"/>
      <c r="F10" s="5"/>
      <c r="G10" s="5" t="s">
        <v>164</v>
      </c>
      <c r="H10" s="5" t="s">
        <v>53</v>
      </c>
      <c r="I10" s="5" t="s">
        <v>646</v>
      </c>
      <c r="J10" s="5" t="s">
        <v>43</v>
      </c>
      <c r="K10" s="23">
        <v>0</v>
      </c>
      <c r="L10" s="17">
        <v>46114</v>
      </c>
      <c r="M10" s="5" t="s">
        <v>578</v>
      </c>
      <c r="N10" s="5" t="s">
        <v>721</v>
      </c>
    </row>
    <row r="11" spans="1:14" outlineLevel="1" x14ac:dyDescent="0.25">
      <c r="A11" s="13">
        <v>4</v>
      </c>
      <c r="B11" s="13" t="s">
        <v>647</v>
      </c>
      <c r="C11" s="13" t="s">
        <v>443</v>
      </c>
      <c r="D11" s="13" t="s">
        <v>775</v>
      </c>
      <c r="E11" s="13" t="s">
        <v>648</v>
      </c>
      <c r="F11" s="13" t="s">
        <v>639</v>
      </c>
      <c r="G11" s="13" t="s">
        <v>239</v>
      </c>
      <c r="H11" s="13" t="s">
        <v>53</v>
      </c>
      <c r="I11" s="13" t="s">
        <v>646</v>
      </c>
      <c r="J11" s="13" t="s">
        <v>43</v>
      </c>
      <c r="K11" s="21">
        <v>25</v>
      </c>
      <c r="L11" s="14">
        <v>46128</v>
      </c>
      <c r="M11" s="13"/>
      <c r="N11" s="13" t="s">
        <v>784</v>
      </c>
    </row>
    <row r="12" spans="1:14" outlineLevel="1" x14ac:dyDescent="0.25">
      <c r="A12" s="15">
        <v>5</v>
      </c>
      <c r="B12" s="15" t="s">
        <v>649</v>
      </c>
      <c r="C12" s="15" t="s">
        <v>443</v>
      </c>
      <c r="D12" s="15" t="s">
        <v>778</v>
      </c>
      <c r="E12" s="15" t="s">
        <v>650</v>
      </c>
      <c r="F12" s="15" t="s">
        <v>595</v>
      </c>
      <c r="G12" s="15" t="s">
        <v>239</v>
      </c>
      <c r="H12" s="15" t="s">
        <v>53</v>
      </c>
      <c r="I12" s="15" t="s">
        <v>646</v>
      </c>
      <c r="J12" s="15" t="s">
        <v>43</v>
      </c>
      <c r="K12" s="22">
        <v>25</v>
      </c>
      <c r="L12" s="16">
        <v>46128</v>
      </c>
      <c r="M12" s="15"/>
      <c r="N12" s="15" t="s">
        <v>785</v>
      </c>
    </row>
    <row r="13" spans="1:14" outlineLevel="1" x14ac:dyDescent="0.25">
      <c r="A13" s="20">
        <v>6</v>
      </c>
      <c r="B13" s="20" t="s">
        <v>779</v>
      </c>
      <c r="C13" s="20" t="s">
        <v>780</v>
      </c>
      <c r="D13" s="20" t="s">
        <v>781</v>
      </c>
      <c r="E13" s="20" t="s">
        <v>42</v>
      </c>
      <c r="F13" s="20" t="s">
        <v>574</v>
      </c>
      <c r="G13" s="20" t="s">
        <v>239</v>
      </c>
      <c r="H13" s="20" t="s">
        <v>53</v>
      </c>
      <c r="I13" s="20" t="s">
        <v>646</v>
      </c>
      <c r="J13" s="20" t="s">
        <v>43</v>
      </c>
      <c r="K13" s="24">
        <v>25</v>
      </c>
      <c r="L13" s="28">
        <v>46128</v>
      </c>
      <c r="M13" s="20"/>
      <c r="N13" s="20" t="s">
        <v>786</v>
      </c>
    </row>
    <row r="14" spans="1:14" outlineLevel="1" x14ac:dyDescent="0.25">
      <c r="A14" s="20">
        <v>7</v>
      </c>
      <c r="B14" s="20" t="s">
        <v>652</v>
      </c>
      <c r="C14" s="20" t="s">
        <v>782</v>
      </c>
      <c r="D14" s="20" t="s">
        <v>783</v>
      </c>
      <c r="E14" s="20" t="s">
        <v>42</v>
      </c>
      <c r="F14" s="20" t="s">
        <v>574</v>
      </c>
      <c r="G14" s="20" t="s">
        <v>239</v>
      </c>
      <c r="H14" s="20" t="s">
        <v>53</v>
      </c>
      <c r="I14" s="20" t="s">
        <v>646</v>
      </c>
      <c r="J14" s="20" t="s">
        <v>43</v>
      </c>
      <c r="K14" s="24">
        <v>25</v>
      </c>
      <c r="L14" s="28">
        <v>46128</v>
      </c>
      <c r="M14" s="20"/>
      <c r="N14" s="20" t="s">
        <v>787</v>
      </c>
    </row>
    <row r="15" spans="1:14" x14ac:dyDescent="0.25">
      <c r="K15" s="25"/>
      <c r="L15" s="11"/>
    </row>
    <row r="16" spans="1:14" x14ac:dyDescent="0.25">
      <c r="A16" s="9" t="s">
        <v>686</v>
      </c>
      <c r="B16" s="10"/>
      <c r="C16" s="10"/>
      <c r="D16" s="10"/>
      <c r="E16" s="10"/>
      <c r="F16" s="10"/>
      <c r="G16" s="10"/>
      <c r="H16" s="10"/>
      <c r="I16" s="10"/>
      <c r="J16" s="10"/>
      <c r="K16" s="26"/>
      <c r="L16" s="29"/>
      <c r="M16" s="10"/>
      <c r="N16" s="10"/>
    </row>
    <row r="17" spans="1:14" outlineLevel="1" x14ac:dyDescent="0.25">
      <c r="A17" s="13">
        <v>8</v>
      </c>
      <c r="B17" s="13" t="s">
        <v>180</v>
      </c>
      <c r="C17" s="13" t="s">
        <v>181</v>
      </c>
      <c r="D17" s="13" t="s">
        <v>182</v>
      </c>
      <c r="E17" s="13" t="s">
        <v>42</v>
      </c>
      <c r="F17" s="13" t="s">
        <v>574</v>
      </c>
      <c r="G17" s="13" t="s">
        <v>183</v>
      </c>
      <c r="H17" s="13" t="s">
        <v>53</v>
      </c>
      <c r="I17" s="13" t="s">
        <v>596</v>
      </c>
      <c r="J17" s="13" t="s">
        <v>184</v>
      </c>
      <c r="K17" s="21">
        <v>1000</v>
      </c>
      <c r="L17" s="14">
        <v>46115</v>
      </c>
      <c r="M17" s="13"/>
      <c r="N17" s="13"/>
    </row>
    <row r="18" spans="1:14" outlineLevel="1" x14ac:dyDescent="0.25">
      <c r="A18" s="38">
        <v>9</v>
      </c>
      <c r="B18" s="38" t="s">
        <v>687</v>
      </c>
      <c r="C18" s="38" t="s">
        <v>688</v>
      </c>
      <c r="D18" s="38" t="s">
        <v>751</v>
      </c>
      <c r="E18" s="38" t="s">
        <v>689</v>
      </c>
      <c r="F18" s="38" t="s">
        <v>690</v>
      </c>
      <c r="G18" s="38" t="s">
        <v>239</v>
      </c>
      <c r="H18" s="38" t="s">
        <v>53</v>
      </c>
      <c r="I18" s="38" t="s">
        <v>596</v>
      </c>
      <c r="J18" s="38" t="s">
        <v>184</v>
      </c>
      <c r="K18" s="39">
        <v>0</v>
      </c>
      <c r="L18" s="40">
        <v>46128</v>
      </c>
      <c r="M18" s="38" t="s">
        <v>788</v>
      </c>
      <c r="N18" s="38" t="s">
        <v>789</v>
      </c>
    </row>
    <row r="19" spans="1:14" x14ac:dyDescent="0.25">
      <c r="K19" s="25"/>
      <c r="L19" s="11"/>
    </row>
    <row r="20" spans="1:14" x14ac:dyDescent="0.25">
      <c r="A20" s="9" t="s">
        <v>645</v>
      </c>
      <c r="B20" s="10"/>
      <c r="C20" s="10"/>
      <c r="D20" s="10"/>
      <c r="E20" s="10"/>
      <c r="F20" s="10"/>
      <c r="G20" s="10"/>
      <c r="H20" s="10"/>
      <c r="I20" s="10"/>
      <c r="J20" s="10"/>
      <c r="K20" s="26"/>
      <c r="L20" s="29"/>
      <c r="M20" s="10"/>
      <c r="N20" s="10"/>
    </row>
    <row r="21" spans="1:14" outlineLevel="1" x14ac:dyDescent="0.25">
      <c r="A21" s="13">
        <v>10</v>
      </c>
      <c r="B21" s="13" t="s">
        <v>279</v>
      </c>
      <c r="C21" s="13" t="s">
        <v>280</v>
      </c>
      <c r="D21" s="13" t="s">
        <v>281</v>
      </c>
      <c r="E21" s="13" t="s">
        <v>607</v>
      </c>
      <c r="F21" s="13" t="s">
        <v>608</v>
      </c>
      <c r="G21" s="13" t="s">
        <v>34</v>
      </c>
      <c r="H21" s="13" t="s">
        <v>35</v>
      </c>
      <c r="I21" s="13" t="s">
        <v>590</v>
      </c>
      <c r="J21" s="13" t="s">
        <v>142</v>
      </c>
      <c r="K21" s="21">
        <v>250</v>
      </c>
      <c r="L21" s="14">
        <v>46120</v>
      </c>
      <c r="M21" s="13"/>
      <c r="N21" s="13"/>
    </row>
    <row r="22" spans="1:14" outlineLevel="1" x14ac:dyDescent="0.25">
      <c r="A22" s="15">
        <v>11</v>
      </c>
      <c r="B22" s="15" t="s">
        <v>418</v>
      </c>
      <c r="C22" s="15" t="s">
        <v>419</v>
      </c>
      <c r="D22" s="15" t="s">
        <v>420</v>
      </c>
      <c r="E22" s="15" t="s">
        <v>617</v>
      </c>
      <c r="F22" s="15" t="s">
        <v>618</v>
      </c>
      <c r="G22" s="15" t="s">
        <v>421</v>
      </c>
      <c r="H22" s="15" t="s">
        <v>35</v>
      </c>
      <c r="I22" s="15" t="s">
        <v>590</v>
      </c>
      <c r="J22" s="15" t="s">
        <v>142</v>
      </c>
      <c r="K22" s="22">
        <v>250</v>
      </c>
      <c r="L22" s="16">
        <v>46125</v>
      </c>
      <c r="M22" s="15"/>
      <c r="N22" s="15"/>
    </row>
    <row r="23" spans="1:14" outlineLevel="1" x14ac:dyDescent="0.25">
      <c r="A23" s="38">
        <v>12</v>
      </c>
      <c r="B23" s="38" t="s">
        <v>138</v>
      </c>
      <c r="C23" s="38" t="s">
        <v>139</v>
      </c>
      <c r="D23" s="38" t="s">
        <v>140</v>
      </c>
      <c r="E23" s="38" t="s">
        <v>588</v>
      </c>
      <c r="F23" s="38" t="s">
        <v>589</v>
      </c>
      <c r="G23" s="38" t="s">
        <v>141</v>
      </c>
      <c r="H23" s="38" t="s">
        <v>35</v>
      </c>
      <c r="I23" s="38" t="s">
        <v>590</v>
      </c>
      <c r="J23" s="38" t="s">
        <v>142</v>
      </c>
      <c r="K23" s="39">
        <v>250</v>
      </c>
      <c r="L23" s="40">
        <v>46112</v>
      </c>
      <c r="M23" s="38" t="s">
        <v>591</v>
      </c>
      <c r="N23" s="38" t="s">
        <v>695</v>
      </c>
    </row>
    <row r="24" spans="1:14" x14ac:dyDescent="0.25">
      <c r="K24" s="25"/>
      <c r="L24" s="11"/>
    </row>
    <row r="25" spans="1:14" x14ac:dyDescent="0.25">
      <c r="A25" s="9" t="s">
        <v>794</v>
      </c>
      <c r="B25" s="10"/>
      <c r="C25" s="10"/>
      <c r="D25" s="10"/>
      <c r="E25" s="10"/>
      <c r="F25" s="10"/>
      <c r="G25" s="10"/>
      <c r="H25" s="10"/>
      <c r="I25" s="10"/>
      <c r="J25" s="10"/>
      <c r="K25" s="26"/>
      <c r="L25" s="29"/>
      <c r="M25" s="10"/>
      <c r="N25" s="10"/>
    </row>
    <row r="26" spans="1:14" x14ac:dyDescent="0.25">
      <c r="A26" s="41">
        <v>13</v>
      </c>
      <c r="B26" s="42" t="s">
        <v>712</v>
      </c>
      <c r="C26" s="42" t="s">
        <v>713</v>
      </c>
      <c r="D26" s="42" t="s">
        <v>714</v>
      </c>
      <c r="E26" s="42" t="s">
        <v>719</v>
      </c>
      <c r="F26" s="42" t="s">
        <v>625</v>
      </c>
      <c r="G26" s="42" t="s">
        <v>239</v>
      </c>
      <c r="H26" s="42" t="s">
        <v>53</v>
      </c>
      <c r="I26" s="42" t="s">
        <v>573</v>
      </c>
      <c r="J26" s="42" t="s">
        <v>43</v>
      </c>
      <c r="K26" s="43">
        <v>0</v>
      </c>
      <c r="L26" s="44">
        <v>46128</v>
      </c>
      <c r="M26" s="42"/>
      <c r="N26" s="42"/>
    </row>
    <row r="27" spans="1:14" outlineLevel="1" x14ac:dyDescent="0.25">
      <c r="A27" s="15">
        <v>14</v>
      </c>
      <c r="B27" s="15" t="s">
        <v>81</v>
      </c>
      <c r="C27" s="15" t="s">
        <v>82</v>
      </c>
      <c r="D27" s="15" t="s">
        <v>83</v>
      </c>
      <c r="E27" s="15" t="s">
        <v>653</v>
      </c>
      <c r="F27" s="15" t="s">
        <v>654</v>
      </c>
      <c r="G27" s="15" t="s">
        <v>84</v>
      </c>
      <c r="H27" s="15" t="s">
        <v>53</v>
      </c>
      <c r="I27" s="15" t="s">
        <v>573</v>
      </c>
      <c r="J27" s="15" t="s">
        <v>43</v>
      </c>
      <c r="K27" s="22">
        <v>25</v>
      </c>
      <c r="L27" s="16">
        <v>46104</v>
      </c>
      <c r="M27" s="15"/>
      <c r="N27" s="15" t="s">
        <v>655</v>
      </c>
    </row>
    <row r="28" spans="1:14" outlineLevel="1" x14ac:dyDescent="0.25">
      <c r="A28" s="13">
        <v>15</v>
      </c>
      <c r="B28" s="13" t="s">
        <v>254</v>
      </c>
      <c r="C28" s="13" t="s">
        <v>255</v>
      </c>
      <c r="D28" s="13" t="s">
        <v>256</v>
      </c>
      <c r="E28" s="13" t="s">
        <v>603</v>
      </c>
      <c r="F28" s="13" t="s">
        <v>604</v>
      </c>
      <c r="G28" s="13" t="s">
        <v>34</v>
      </c>
      <c r="H28" s="13" t="s">
        <v>35</v>
      </c>
      <c r="I28" s="13" t="s">
        <v>573</v>
      </c>
      <c r="J28" s="13" t="s">
        <v>43</v>
      </c>
      <c r="K28" s="21">
        <v>25</v>
      </c>
      <c r="L28" s="14">
        <v>46120</v>
      </c>
      <c r="M28" s="13"/>
      <c r="N28" s="13"/>
    </row>
    <row r="29" spans="1:14" outlineLevel="1" x14ac:dyDescent="0.25">
      <c r="A29" s="15">
        <v>16</v>
      </c>
      <c r="B29" s="15" t="s">
        <v>357</v>
      </c>
      <c r="C29" s="15" t="s">
        <v>358</v>
      </c>
      <c r="D29" s="15" t="s">
        <v>612</v>
      </c>
      <c r="E29" s="15" t="s">
        <v>613</v>
      </c>
      <c r="F29" s="15" t="s">
        <v>614</v>
      </c>
      <c r="G29" s="15" t="s">
        <v>360</v>
      </c>
      <c r="H29" s="15" t="s">
        <v>53</v>
      </c>
      <c r="I29" s="15" t="s">
        <v>573</v>
      </c>
      <c r="J29" s="15" t="s">
        <v>43</v>
      </c>
      <c r="K29" s="22">
        <v>25</v>
      </c>
      <c r="L29" s="16">
        <v>46122</v>
      </c>
      <c r="M29" s="15"/>
      <c r="N29" s="15"/>
    </row>
    <row r="30" spans="1:14" outlineLevel="1" x14ac:dyDescent="0.25">
      <c r="A30" s="13">
        <v>17</v>
      </c>
      <c r="B30" s="13" t="s">
        <v>30</v>
      </c>
      <c r="C30" s="13" t="s">
        <v>31</v>
      </c>
      <c r="D30" s="45" t="s">
        <v>32</v>
      </c>
      <c r="E30" s="13" t="s">
        <v>692</v>
      </c>
      <c r="F30" s="13" t="s">
        <v>691</v>
      </c>
      <c r="G30" s="13" t="s">
        <v>34</v>
      </c>
      <c r="H30" s="13" t="s">
        <v>35</v>
      </c>
      <c r="I30" s="13" t="s">
        <v>573</v>
      </c>
      <c r="J30" s="13" t="s">
        <v>43</v>
      </c>
      <c r="K30" s="21">
        <v>25</v>
      </c>
      <c r="L30" s="14">
        <v>46098</v>
      </c>
      <c r="M30" s="13"/>
      <c r="N30" s="13" t="s">
        <v>693</v>
      </c>
    </row>
    <row r="31" spans="1:14" outlineLevel="1" x14ac:dyDescent="0.25">
      <c r="A31" s="15">
        <v>18</v>
      </c>
      <c r="B31" s="15" t="s">
        <v>285</v>
      </c>
      <c r="C31" s="15" t="s">
        <v>286</v>
      </c>
      <c r="D31" s="15" t="s">
        <v>287</v>
      </c>
      <c r="E31" s="15" t="s">
        <v>657</v>
      </c>
      <c r="F31" s="15" t="s">
        <v>658</v>
      </c>
      <c r="G31" s="15" t="s">
        <v>239</v>
      </c>
      <c r="H31" s="15" t="s">
        <v>53</v>
      </c>
      <c r="I31" s="15" t="s">
        <v>573</v>
      </c>
      <c r="J31" s="15" t="s">
        <v>43</v>
      </c>
      <c r="K31" s="22">
        <v>0</v>
      </c>
      <c r="L31" s="16">
        <v>46120</v>
      </c>
      <c r="M31" s="15"/>
      <c r="N31" s="15" t="s">
        <v>659</v>
      </c>
    </row>
    <row r="32" spans="1:14" outlineLevel="1" x14ac:dyDescent="0.25">
      <c r="A32" s="13">
        <v>19</v>
      </c>
      <c r="B32" s="13" t="s">
        <v>248</v>
      </c>
      <c r="C32" s="13" t="s">
        <v>249</v>
      </c>
      <c r="D32" s="45" t="s">
        <v>250</v>
      </c>
      <c r="E32" s="13"/>
      <c r="F32" s="13"/>
      <c r="G32" s="13" t="s">
        <v>52</v>
      </c>
      <c r="H32" s="13" t="s">
        <v>53</v>
      </c>
      <c r="I32" s="13" t="s">
        <v>573</v>
      </c>
      <c r="J32" s="13" t="s">
        <v>43</v>
      </c>
      <c r="K32" s="21">
        <v>25</v>
      </c>
      <c r="L32" s="14">
        <v>46119</v>
      </c>
      <c r="M32" s="13"/>
      <c r="N32" s="13" t="s">
        <v>656</v>
      </c>
    </row>
    <row r="33" spans="1:14" outlineLevel="1" x14ac:dyDescent="0.25">
      <c r="A33" s="15">
        <v>20</v>
      </c>
      <c r="B33" s="15" t="s">
        <v>190</v>
      </c>
      <c r="C33" s="15" t="s">
        <v>362</v>
      </c>
      <c r="D33" s="15" t="s">
        <v>615</v>
      </c>
      <c r="E33" s="15" t="s">
        <v>613</v>
      </c>
      <c r="F33" s="15" t="s">
        <v>614</v>
      </c>
      <c r="G33" s="15" t="s">
        <v>360</v>
      </c>
      <c r="H33" s="15" t="s">
        <v>53</v>
      </c>
      <c r="I33" s="15" t="s">
        <v>573</v>
      </c>
      <c r="J33" s="15" t="s">
        <v>43</v>
      </c>
      <c r="K33" s="22">
        <v>25</v>
      </c>
      <c r="L33" s="16">
        <v>46122</v>
      </c>
      <c r="M33" s="15"/>
      <c r="N33" s="15"/>
    </row>
    <row r="34" spans="1:14" outlineLevel="1" x14ac:dyDescent="0.25">
      <c r="A34" s="13">
        <v>21</v>
      </c>
      <c r="B34" s="13" t="s">
        <v>515</v>
      </c>
      <c r="C34" s="13" t="s">
        <v>516</v>
      </c>
      <c r="D34" s="13" t="s">
        <v>517</v>
      </c>
      <c r="E34" s="13" t="s">
        <v>628</v>
      </c>
      <c r="F34" s="13" t="s">
        <v>629</v>
      </c>
      <c r="G34" s="13" t="s">
        <v>518</v>
      </c>
      <c r="H34" s="13" t="s">
        <v>53</v>
      </c>
      <c r="I34" s="13" t="s">
        <v>573</v>
      </c>
      <c r="J34" s="13" t="s">
        <v>43</v>
      </c>
      <c r="K34" s="21">
        <v>25</v>
      </c>
      <c r="L34" s="14">
        <v>46127</v>
      </c>
      <c r="M34" s="13"/>
      <c r="N34" s="13"/>
    </row>
    <row r="35" spans="1:14" outlineLevel="1" x14ac:dyDescent="0.25">
      <c r="A35" s="15">
        <v>22</v>
      </c>
      <c r="B35" s="15" t="s">
        <v>49</v>
      </c>
      <c r="C35" s="15" t="s">
        <v>717</v>
      </c>
      <c r="D35" s="15" t="s">
        <v>718</v>
      </c>
      <c r="E35" s="15" t="s">
        <v>799</v>
      </c>
      <c r="F35" s="15" t="s">
        <v>800</v>
      </c>
      <c r="G35" s="15" t="s">
        <v>294</v>
      </c>
      <c r="H35" s="15" t="s">
        <v>53</v>
      </c>
      <c r="I35" s="15" t="s">
        <v>573</v>
      </c>
      <c r="J35" s="15" t="s">
        <v>43</v>
      </c>
      <c r="K35" s="22">
        <v>25</v>
      </c>
      <c r="L35" s="16">
        <v>46128</v>
      </c>
      <c r="M35" s="15"/>
      <c r="N35" s="15" t="s">
        <v>801</v>
      </c>
    </row>
    <row r="36" spans="1:14" outlineLevel="1" x14ac:dyDescent="0.25">
      <c r="A36" s="13">
        <v>23</v>
      </c>
      <c r="B36" s="13" t="s">
        <v>389</v>
      </c>
      <c r="C36" s="13" t="s">
        <v>390</v>
      </c>
      <c r="D36" s="13" t="s">
        <v>391</v>
      </c>
      <c r="E36" s="13" t="s">
        <v>660</v>
      </c>
      <c r="F36" s="13" t="s">
        <v>661</v>
      </c>
      <c r="G36" s="13" t="s">
        <v>52</v>
      </c>
      <c r="H36" s="13" t="s">
        <v>53</v>
      </c>
      <c r="I36" s="13" t="s">
        <v>573</v>
      </c>
      <c r="J36" s="13" t="s">
        <v>43</v>
      </c>
      <c r="K36" s="21">
        <v>25</v>
      </c>
      <c r="L36" s="14">
        <v>46122</v>
      </c>
      <c r="M36" s="13"/>
      <c r="N36" s="13" t="s">
        <v>662</v>
      </c>
    </row>
    <row r="37" spans="1:14" outlineLevel="1" x14ac:dyDescent="0.25">
      <c r="A37" s="20">
        <v>24</v>
      </c>
      <c r="B37" s="20" t="s">
        <v>442</v>
      </c>
      <c r="C37" s="20" t="s">
        <v>443</v>
      </c>
      <c r="D37" s="20" t="s">
        <v>238</v>
      </c>
      <c r="E37" s="20" t="s">
        <v>594</v>
      </c>
      <c r="F37" s="20" t="s">
        <v>595</v>
      </c>
      <c r="G37" s="20" t="s">
        <v>239</v>
      </c>
      <c r="H37" s="20" t="s">
        <v>53</v>
      </c>
      <c r="I37" s="20" t="s">
        <v>573</v>
      </c>
      <c r="J37" s="20" t="s">
        <v>43</v>
      </c>
      <c r="K37" s="24">
        <v>0</v>
      </c>
      <c r="L37" s="28">
        <v>46119</v>
      </c>
      <c r="M37" s="20"/>
      <c r="N37" s="20" t="s">
        <v>701</v>
      </c>
    </row>
    <row r="38" spans="1:14" outlineLevel="1" x14ac:dyDescent="0.25">
      <c r="A38" s="13">
        <v>25</v>
      </c>
      <c r="B38" s="13" t="s">
        <v>291</v>
      </c>
      <c r="C38" s="13" t="s">
        <v>292</v>
      </c>
      <c r="D38" s="13" t="s">
        <v>293</v>
      </c>
      <c r="E38" s="13" t="s">
        <v>609</v>
      </c>
      <c r="F38" s="13" t="s">
        <v>610</v>
      </c>
      <c r="G38" s="13" t="s">
        <v>294</v>
      </c>
      <c r="H38" s="13" t="s">
        <v>53</v>
      </c>
      <c r="I38" s="13" t="s">
        <v>573</v>
      </c>
      <c r="J38" s="13" t="s">
        <v>43</v>
      </c>
      <c r="K38" s="21">
        <v>0</v>
      </c>
      <c r="L38" s="14">
        <v>46121</v>
      </c>
      <c r="M38" s="13"/>
      <c r="N38" s="13"/>
    </row>
    <row r="39" spans="1:14" outlineLevel="1" x14ac:dyDescent="0.25">
      <c r="A39" s="38">
        <v>26</v>
      </c>
      <c r="B39" s="38" t="s">
        <v>120</v>
      </c>
      <c r="C39" s="38" t="s">
        <v>585</v>
      </c>
      <c r="D39" s="38" t="s">
        <v>122</v>
      </c>
      <c r="E39" s="38" t="s">
        <v>581</v>
      </c>
      <c r="F39" s="38" t="s">
        <v>582</v>
      </c>
      <c r="G39" s="38" t="s">
        <v>123</v>
      </c>
      <c r="H39" s="38" t="s">
        <v>116</v>
      </c>
      <c r="I39" s="38" t="s">
        <v>573</v>
      </c>
      <c r="J39" s="38" t="s">
        <v>43</v>
      </c>
      <c r="K39" s="39">
        <v>0</v>
      </c>
      <c r="L39" s="40">
        <v>46112</v>
      </c>
      <c r="M39" s="38"/>
      <c r="N39" s="38" t="s">
        <v>696</v>
      </c>
    </row>
    <row r="40" spans="1:14" outlineLevel="1" x14ac:dyDescent="0.25">
      <c r="A40" s="13">
        <v>27</v>
      </c>
      <c r="B40" s="13" t="s">
        <v>232</v>
      </c>
      <c r="C40" s="13" t="s">
        <v>475</v>
      </c>
      <c r="D40" s="13" t="s">
        <v>476</v>
      </c>
      <c r="E40" s="13" t="s">
        <v>624</v>
      </c>
      <c r="F40" s="13" t="s">
        <v>625</v>
      </c>
      <c r="G40" s="13" t="s">
        <v>52</v>
      </c>
      <c r="H40" s="13" t="s">
        <v>53</v>
      </c>
      <c r="I40" s="13" t="s">
        <v>573</v>
      </c>
      <c r="J40" s="13" t="s">
        <v>43</v>
      </c>
      <c r="K40" s="21">
        <v>25</v>
      </c>
      <c r="L40" s="14">
        <v>46126</v>
      </c>
      <c r="M40" s="13"/>
      <c r="N40" s="13"/>
    </row>
    <row r="41" spans="1:14" outlineLevel="1" x14ac:dyDescent="0.25">
      <c r="A41" s="15">
        <v>28</v>
      </c>
      <c r="B41" s="15" t="s">
        <v>127</v>
      </c>
      <c r="C41" s="15" t="s">
        <v>128</v>
      </c>
      <c r="D41" s="15" t="s">
        <v>129</v>
      </c>
      <c r="E41" s="15" t="s">
        <v>586</v>
      </c>
      <c r="F41" s="15" t="s">
        <v>587</v>
      </c>
      <c r="G41" s="15" t="s">
        <v>130</v>
      </c>
      <c r="H41" s="15" t="s">
        <v>35</v>
      </c>
      <c r="I41" s="15" t="s">
        <v>573</v>
      </c>
      <c r="J41" s="15" t="s">
        <v>43</v>
      </c>
      <c r="K41" s="22">
        <v>25</v>
      </c>
      <c r="L41" s="16">
        <v>46112</v>
      </c>
      <c r="M41" s="15"/>
      <c r="N41" s="15"/>
    </row>
    <row r="42" spans="1:14" outlineLevel="1" x14ac:dyDescent="0.25">
      <c r="A42" s="38">
        <v>29</v>
      </c>
      <c r="B42" s="38" t="s">
        <v>149</v>
      </c>
      <c r="C42" s="38" t="s">
        <v>150</v>
      </c>
      <c r="D42" s="38" t="s">
        <v>151</v>
      </c>
      <c r="E42" s="38" t="s">
        <v>588</v>
      </c>
      <c r="F42" s="38" t="s">
        <v>589</v>
      </c>
      <c r="G42" s="38" t="s">
        <v>34</v>
      </c>
      <c r="H42" s="38" t="s">
        <v>35</v>
      </c>
      <c r="I42" s="38" t="s">
        <v>573</v>
      </c>
      <c r="J42" s="38" t="s">
        <v>43</v>
      </c>
      <c r="K42" s="39">
        <v>0</v>
      </c>
      <c r="L42" s="40">
        <v>46113</v>
      </c>
      <c r="M42" s="38"/>
      <c r="N42" s="38" t="s">
        <v>697</v>
      </c>
    </row>
    <row r="43" spans="1:14" outlineLevel="1" x14ac:dyDescent="0.25">
      <c r="A43" s="15">
        <v>30</v>
      </c>
      <c r="B43" s="15" t="s">
        <v>266</v>
      </c>
      <c r="C43" s="15" t="s">
        <v>267</v>
      </c>
      <c r="D43" s="15" t="s">
        <v>268</v>
      </c>
      <c r="E43" s="15" t="s">
        <v>603</v>
      </c>
      <c r="F43" s="15" t="s">
        <v>604</v>
      </c>
      <c r="G43" s="15" t="s">
        <v>239</v>
      </c>
      <c r="H43" s="15" t="s">
        <v>53</v>
      </c>
      <c r="I43" s="15" t="s">
        <v>573</v>
      </c>
      <c r="J43" s="15" t="s">
        <v>43</v>
      </c>
      <c r="K43" s="22">
        <v>25</v>
      </c>
      <c r="L43" s="16">
        <v>46120</v>
      </c>
      <c r="M43" s="15"/>
      <c r="N43" s="15"/>
    </row>
    <row r="44" spans="1:14" outlineLevel="1" x14ac:dyDescent="0.25">
      <c r="A44" s="13">
        <v>31</v>
      </c>
      <c r="B44" s="13" t="s">
        <v>190</v>
      </c>
      <c r="C44" s="13" t="s">
        <v>191</v>
      </c>
      <c r="D44" s="13" t="s">
        <v>192</v>
      </c>
      <c r="E44" s="13" t="s">
        <v>597</v>
      </c>
      <c r="F44" s="13" t="s">
        <v>598</v>
      </c>
      <c r="G44" s="13" t="s">
        <v>175</v>
      </c>
      <c r="H44" s="13" t="s">
        <v>53</v>
      </c>
      <c r="I44" s="13" t="s">
        <v>573</v>
      </c>
      <c r="J44" s="13" t="s">
        <v>43</v>
      </c>
      <c r="K44" s="21">
        <v>25</v>
      </c>
      <c r="L44" s="14">
        <v>46118</v>
      </c>
      <c r="M44" s="13"/>
      <c r="N44" s="13"/>
    </row>
    <row r="45" spans="1:14" outlineLevel="1" x14ac:dyDescent="0.25">
      <c r="A45" s="15">
        <v>32</v>
      </c>
      <c r="B45" s="15" t="s">
        <v>528</v>
      </c>
      <c r="C45" s="15" t="s">
        <v>529</v>
      </c>
      <c r="D45" s="15" t="s">
        <v>530</v>
      </c>
      <c r="E45" s="15" t="s">
        <v>603</v>
      </c>
      <c r="F45" s="15" t="s">
        <v>604</v>
      </c>
      <c r="G45" s="15" t="s">
        <v>84</v>
      </c>
      <c r="H45" s="15" t="s">
        <v>53</v>
      </c>
      <c r="I45" s="15" t="s">
        <v>573</v>
      </c>
      <c r="J45" s="15" t="s">
        <v>43</v>
      </c>
      <c r="K45" s="22">
        <v>25</v>
      </c>
      <c r="L45" s="16">
        <v>46127</v>
      </c>
      <c r="M45" s="15"/>
      <c r="N45" s="15"/>
    </row>
    <row r="46" spans="1:14" outlineLevel="1" x14ac:dyDescent="0.25">
      <c r="A46" s="38">
        <v>33</v>
      </c>
      <c r="B46" s="38" t="s">
        <v>113</v>
      </c>
      <c r="C46" s="38" t="s">
        <v>114</v>
      </c>
      <c r="D46" s="38" t="s">
        <v>115</v>
      </c>
      <c r="E46" s="38" t="s">
        <v>583</v>
      </c>
      <c r="F46" s="38" t="s">
        <v>584</v>
      </c>
      <c r="G46" s="38"/>
      <c r="H46" s="38" t="s">
        <v>116</v>
      </c>
      <c r="I46" s="38" t="s">
        <v>573</v>
      </c>
      <c r="J46" s="38" t="s">
        <v>43</v>
      </c>
      <c r="K46" s="39">
        <v>0</v>
      </c>
      <c r="L46" s="40">
        <v>46111</v>
      </c>
      <c r="M46" s="38"/>
      <c r="N46" s="38" t="s">
        <v>698</v>
      </c>
    </row>
    <row r="47" spans="1:14" outlineLevel="1" x14ac:dyDescent="0.25">
      <c r="A47" s="15">
        <v>34</v>
      </c>
      <c r="B47" s="15" t="s">
        <v>131</v>
      </c>
      <c r="C47" s="15" t="s">
        <v>132</v>
      </c>
      <c r="D47" s="15" t="s">
        <v>133</v>
      </c>
      <c r="E47" s="15" t="s">
        <v>586</v>
      </c>
      <c r="F47" s="15" t="s">
        <v>587</v>
      </c>
      <c r="G47" s="15" t="s">
        <v>130</v>
      </c>
      <c r="H47" s="15" t="s">
        <v>35</v>
      </c>
      <c r="I47" s="15" t="s">
        <v>573</v>
      </c>
      <c r="J47" s="15" t="s">
        <v>43</v>
      </c>
      <c r="K47" s="22">
        <v>25</v>
      </c>
      <c r="L47" s="16">
        <v>46112</v>
      </c>
      <c r="M47" s="15"/>
      <c r="N47" s="15"/>
    </row>
    <row r="48" spans="1:14" outlineLevel="1" x14ac:dyDescent="0.25">
      <c r="A48" s="13">
        <v>35</v>
      </c>
      <c r="B48" s="13" t="s">
        <v>425</v>
      </c>
      <c r="C48" s="13" t="s">
        <v>426</v>
      </c>
      <c r="D48" s="13" t="s">
        <v>427</v>
      </c>
      <c r="E48" s="13" t="s">
        <v>619</v>
      </c>
      <c r="F48" s="13" t="s">
        <v>620</v>
      </c>
      <c r="G48" s="13" t="s">
        <v>428</v>
      </c>
      <c r="H48" s="13" t="s">
        <v>429</v>
      </c>
      <c r="I48" s="13" t="s">
        <v>573</v>
      </c>
      <c r="J48" s="13" t="s">
        <v>43</v>
      </c>
      <c r="K48" s="21">
        <v>25</v>
      </c>
      <c r="L48" s="14">
        <v>46125</v>
      </c>
      <c r="M48" s="13"/>
      <c r="N48" s="13"/>
    </row>
    <row r="49" spans="1:14" outlineLevel="1" x14ac:dyDescent="0.25">
      <c r="A49" s="15">
        <v>36</v>
      </c>
      <c r="B49" s="15" t="s">
        <v>66</v>
      </c>
      <c r="C49" s="15" t="s">
        <v>67</v>
      </c>
      <c r="D49" s="15" t="s">
        <v>68</v>
      </c>
      <c r="E49" s="15" t="s">
        <v>576</v>
      </c>
      <c r="F49" s="15" t="s">
        <v>577</v>
      </c>
      <c r="G49" s="15" t="s">
        <v>69</v>
      </c>
      <c r="H49" s="15" t="s">
        <v>53</v>
      </c>
      <c r="I49" s="15" t="s">
        <v>573</v>
      </c>
      <c r="J49" s="15" t="s">
        <v>43</v>
      </c>
      <c r="K49" s="22">
        <v>25</v>
      </c>
      <c r="L49" s="16">
        <v>46101</v>
      </c>
      <c r="M49" s="15" t="s">
        <v>578</v>
      </c>
      <c r="N49" s="15" t="s">
        <v>745</v>
      </c>
    </row>
    <row r="50" spans="1:14" outlineLevel="1" x14ac:dyDescent="0.25">
      <c r="A50" s="13">
        <v>37</v>
      </c>
      <c r="B50" s="13" t="s">
        <v>156</v>
      </c>
      <c r="C50" s="13" t="s">
        <v>243</v>
      </c>
      <c r="D50" s="13" t="s">
        <v>244</v>
      </c>
      <c r="E50" s="13" t="s">
        <v>601</v>
      </c>
      <c r="F50" s="13" t="s">
        <v>602</v>
      </c>
      <c r="G50" s="13" t="s">
        <v>52</v>
      </c>
      <c r="H50" s="13" t="s">
        <v>53</v>
      </c>
      <c r="I50" s="13" t="s">
        <v>573</v>
      </c>
      <c r="J50" s="13" t="s">
        <v>43</v>
      </c>
      <c r="K50" s="21">
        <v>0</v>
      </c>
      <c r="L50" s="14">
        <v>46119</v>
      </c>
      <c r="M50" s="13"/>
      <c r="N50" s="13"/>
    </row>
    <row r="51" spans="1:14" outlineLevel="1" x14ac:dyDescent="0.25">
      <c r="A51" s="15">
        <v>38</v>
      </c>
      <c r="B51" s="15" t="s">
        <v>535</v>
      </c>
      <c r="C51" s="15" t="s">
        <v>536</v>
      </c>
      <c r="D51" s="15" t="s">
        <v>534</v>
      </c>
      <c r="E51" s="15" t="s">
        <v>630</v>
      </c>
      <c r="F51" s="15" t="s">
        <v>631</v>
      </c>
      <c r="G51" s="15" t="s">
        <v>109</v>
      </c>
      <c r="H51" s="15" t="s">
        <v>53</v>
      </c>
      <c r="I51" s="15" t="s">
        <v>573</v>
      </c>
      <c r="J51" s="15" t="s">
        <v>43</v>
      </c>
      <c r="K51" s="22">
        <v>25</v>
      </c>
      <c r="L51" s="16">
        <v>46127</v>
      </c>
      <c r="M51" s="15"/>
      <c r="N51" s="15"/>
    </row>
    <row r="52" spans="1:14" outlineLevel="1" x14ac:dyDescent="0.25">
      <c r="A52" s="38">
        <v>39</v>
      </c>
      <c r="B52" s="38" t="s">
        <v>734</v>
      </c>
      <c r="C52" s="38" t="s">
        <v>735</v>
      </c>
      <c r="D52" s="38" t="s">
        <v>738</v>
      </c>
      <c r="E52" s="38" t="s">
        <v>740</v>
      </c>
      <c r="F52" s="38" t="s">
        <v>639</v>
      </c>
      <c r="G52" s="38" t="s">
        <v>69</v>
      </c>
      <c r="H52" s="38" t="s">
        <v>53</v>
      </c>
      <c r="I52" s="38" t="s">
        <v>573</v>
      </c>
      <c r="J52" s="38" t="s">
        <v>43</v>
      </c>
      <c r="K52" s="39">
        <v>25</v>
      </c>
      <c r="L52" s="40">
        <v>46128</v>
      </c>
      <c r="M52" s="38"/>
      <c r="N52" s="38" t="s">
        <v>741</v>
      </c>
    </row>
    <row r="53" spans="1:14" outlineLevel="1" x14ac:dyDescent="0.25">
      <c r="A53" s="15">
        <v>40</v>
      </c>
      <c r="B53" s="15" t="s">
        <v>131</v>
      </c>
      <c r="C53" s="15" t="s">
        <v>736</v>
      </c>
      <c r="D53" s="15" t="s">
        <v>737</v>
      </c>
      <c r="E53" s="15" t="s">
        <v>740</v>
      </c>
      <c r="F53" s="15" t="s">
        <v>639</v>
      </c>
      <c r="G53" s="15" t="s">
        <v>69</v>
      </c>
      <c r="H53" s="15" t="s">
        <v>53</v>
      </c>
      <c r="I53" s="15" t="s">
        <v>573</v>
      </c>
      <c r="J53" s="15" t="s">
        <v>43</v>
      </c>
      <c r="K53" s="22">
        <v>25</v>
      </c>
      <c r="L53" s="16">
        <v>46128</v>
      </c>
      <c r="M53" s="15"/>
      <c r="N53" s="15" t="s">
        <v>741</v>
      </c>
    </row>
    <row r="54" spans="1:14" outlineLevel="1" x14ac:dyDescent="0.25">
      <c r="A54" s="13">
        <v>41</v>
      </c>
      <c r="B54" s="13" t="s">
        <v>232</v>
      </c>
      <c r="C54" s="13" t="s">
        <v>233</v>
      </c>
      <c r="D54" s="13" t="s">
        <v>234</v>
      </c>
      <c r="E54" s="13" t="s">
        <v>599</v>
      </c>
      <c r="F54" s="13" t="s">
        <v>600</v>
      </c>
      <c r="G54" s="13" t="s">
        <v>52</v>
      </c>
      <c r="H54" s="13" t="s">
        <v>53</v>
      </c>
      <c r="I54" s="13" t="s">
        <v>573</v>
      </c>
      <c r="J54" s="13" t="s">
        <v>43</v>
      </c>
      <c r="K54" s="21">
        <v>0</v>
      </c>
      <c r="L54" s="14">
        <v>46119</v>
      </c>
      <c r="M54" s="13"/>
      <c r="N54" s="13" t="s">
        <v>699</v>
      </c>
    </row>
    <row r="55" spans="1:14" outlineLevel="1" x14ac:dyDescent="0.25">
      <c r="A55" s="38">
        <v>42</v>
      </c>
      <c r="B55" s="38" t="s">
        <v>272</v>
      </c>
      <c r="C55" s="38" t="s">
        <v>273</v>
      </c>
      <c r="D55" s="38" t="s">
        <v>274</v>
      </c>
      <c r="E55" s="38" t="s">
        <v>605</v>
      </c>
      <c r="F55" s="38" t="s">
        <v>606</v>
      </c>
      <c r="G55" s="38" t="s">
        <v>275</v>
      </c>
      <c r="H55" s="38" t="s">
        <v>53</v>
      </c>
      <c r="I55" s="38" t="s">
        <v>573</v>
      </c>
      <c r="J55" s="38" t="s">
        <v>43</v>
      </c>
      <c r="K55" s="39">
        <v>25</v>
      </c>
      <c r="L55" s="40">
        <v>46120</v>
      </c>
      <c r="M55" s="38"/>
      <c r="N55" s="38"/>
    </row>
    <row r="56" spans="1:14" outlineLevel="1" x14ac:dyDescent="0.25">
      <c r="A56" s="13">
        <v>43</v>
      </c>
      <c r="B56" s="13" t="s">
        <v>75</v>
      </c>
      <c r="C56" s="13" t="s">
        <v>76</v>
      </c>
      <c r="D56" s="13" t="s">
        <v>77</v>
      </c>
      <c r="E56" s="13" t="s">
        <v>579</v>
      </c>
      <c r="F56" s="13" t="s">
        <v>580</v>
      </c>
      <c r="G56" s="13" t="s">
        <v>52</v>
      </c>
      <c r="H56" s="13" t="s">
        <v>53</v>
      </c>
      <c r="I56" s="13" t="s">
        <v>573</v>
      </c>
      <c r="J56" s="13" t="s">
        <v>43</v>
      </c>
      <c r="K56" s="21">
        <v>25</v>
      </c>
      <c r="L56" s="14">
        <v>46104</v>
      </c>
      <c r="M56" s="13"/>
      <c r="N56" s="13"/>
    </row>
    <row r="57" spans="1:14" outlineLevel="1" x14ac:dyDescent="0.25">
      <c r="A57" s="15">
        <v>44</v>
      </c>
      <c r="B57" s="15" t="s">
        <v>106</v>
      </c>
      <c r="C57" s="15" t="s">
        <v>107</v>
      </c>
      <c r="D57" s="15" t="s">
        <v>108</v>
      </c>
      <c r="E57" s="15" t="s">
        <v>581</v>
      </c>
      <c r="F57" s="15" t="s">
        <v>582</v>
      </c>
      <c r="G57" s="15" t="s">
        <v>109</v>
      </c>
      <c r="H57" s="15" t="s">
        <v>53</v>
      </c>
      <c r="I57" s="15" t="s">
        <v>573</v>
      </c>
      <c r="J57" s="15" t="s">
        <v>43</v>
      </c>
      <c r="K57" s="22">
        <v>0</v>
      </c>
      <c r="L57" s="16">
        <v>46108</v>
      </c>
      <c r="M57" s="15"/>
      <c r="N57" s="15" t="s">
        <v>700</v>
      </c>
    </row>
    <row r="58" spans="1:14" outlineLevel="1" x14ac:dyDescent="0.25">
      <c r="A58" s="13">
        <v>45</v>
      </c>
      <c r="B58" s="13" t="s">
        <v>752</v>
      </c>
      <c r="C58" s="13" t="s">
        <v>753</v>
      </c>
      <c r="D58" s="13" t="s">
        <v>754</v>
      </c>
      <c r="E58" s="13" t="s">
        <v>790</v>
      </c>
      <c r="F58" s="13" t="s">
        <v>629</v>
      </c>
      <c r="G58" s="13" t="s">
        <v>755</v>
      </c>
      <c r="H58" s="13" t="s">
        <v>756</v>
      </c>
      <c r="I58" s="13" t="s">
        <v>573</v>
      </c>
      <c r="J58" s="13" t="s">
        <v>43</v>
      </c>
      <c r="K58" s="21">
        <v>25</v>
      </c>
      <c r="L58" s="14">
        <v>46128</v>
      </c>
      <c r="M58" s="13"/>
      <c r="N58" s="13"/>
    </row>
    <row r="59" spans="1:14" outlineLevel="1" x14ac:dyDescent="0.25">
      <c r="A59" s="15">
        <v>46</v>
      </c>
      <c r="B59" s="15" t="s">
        <v>757</v>
      </c>
      <c r="C59" s="15" t="s">
        <v>758</v>
      </c>
      <c r="D59" s="15" t="s">
        <v>759</v>
      </c>
      <c r="E59" s="15" t="s">
        <v>802</v>
      </c>
      <c r="F59" s="15" t="s">
        <v>803</v>
      </c>
      <c r="G59" s="15" t="s">
        <v>760</v>
      </c>
      <c r="H59" s="15" t="s">
        <v>35</v>
      </c>
      <c r="I59" s="15" t="s">
        <v>573</v>
      </c>
      <c r="J59" s="15" t="s">
        <v>43</v>
      </c>
      <c r="K59" s="22">
        <v>25</v>
      </c>
      <c r="L59" s="16">
        <v>46128</v>
      </c>
      <c r="M59" s="15"/>
      <c r="N59" s="15"/>
    </row>
    <row r="60" spans="1:14" outlineLevel="1" x14ac:dyDescent="0.25">
      <c r="A60" s="13">
        <v>47</v>
      </c>
      <c r="B60" s="13" t="s">
        <v>761</v>
      </c>
      <c r="C60" s="13" t="s">
        <v>762</v>
      </c>
      <c r="D60" s="13" t="s">
        <v>763</v>
      </c>
      <c r="E60" s="13" t="s">
        <v>791</v>
      </c>
      <c r="F60" s="13" t="s">
        <v>574</v>
      </c>
      <c r="G60" s="13" t="s">
        <v>52</v>
      </c>
      <c r="H60" s="13" t="s">
        <v>53</v>
      </c>
      <c r="I60" s="13" t="s">
        <v>573</v>
      </c>
      <c r="J60" s="13" t="s">
        <v>43</v>
      </c>
      <c r="K60" s="21">
        <v>0</v>
      </c>
      <c r="L60" s="14">
        <v>46128</v>
      </c>
      <c r="M60" s="13"/>
      <c r="N60" s="13"/>
    </row>
    <row r="61" spans="1:14" outlineLevel="1" x14ac:dyDescent="0.25">
      <c r="A61" s="15">
        <v>48</v>
      </c>
      <c r="B61" s="15" t="s">
        <v>190</v>
      </c>
      <c r="C61" s="15" t="s">
        <v>764</v>
      </c>
      <c r="D61" s="15" t="s">
        <v>765</v>
      </c>
      <c r="E61" s="15" t="s">
        <v>42</v>
      </c>
      <c r="F61" s="15" t="s">
        <v>574</v>
      </c>
      <c r="G61" s="15" t="s">
        <v>766</v>
      </c>
      <c r="H61" s="15" t="s">
        <v>53</v>
      </c>
      <c r="I61" s="15" t="s">
        <v>573</v>
      </c>
      <c r="J61" s="15" t="s">
        <v>43</v>
      </c>
      <c r="K61" s="22">
        <v>25</v>
      </c>
      <c r="L61" s="16">
        <v>46128</v>
      </c>
      <c r="M61" s="15"/>
      <c r="N61" s="15"/>
    </row>
    <row r="62" spans="1:14" outlineLevel="1" x14ac:dyDescent="0.25">
      <c r="A62" s="13">
        <v>49</v>
      </c>
      <c r="B62" s="13" t="s">
        <v>767</v>
      </c>
      <c r="C62" s="13" t="s">
        <v>768</v>
      </c>
      <c r="D62" s="13" t="s">
        <v>769</v>
      </c>
      <c r="E62" s="13" t="s">
        <v>792</v>
      </c>
      <c r="F62" s="13" t="s">
        <v>690</v>
      </c>
      <c r="G62" s="13" t="s">
        <v>408</v>
      </c>
      <c r="H62" s="13" t="s">
        <v>53</v>
      </c>
      <c r="I62" s="13" t="s">
        <v>573</v>
      </c>
      <c r="J62" s="13" t="s">
        <v>43</v>
      </c>
      <c r="K62" s="21">
        <v>25</v>
      </c>
      <c r="L62" s="14">
        <v>46128</v>
      </c>
      <c r="M62" s="13"/>
      <c r="N62" s="13"/>
    </row>
    <row r="63" spans="1:14" outlineLevel="1" x14ac:dyDescent="0.25">
      <c r="A63" s="15">
        <v>50</v>
      </c>
      <c r="B63" s="15" t="s">
        <v>190</v>
      </c>
      <c r="C63" s="15" t="s">
        <v>773</v>
      </c>
      <c r="D63" s="15" t="s">
        <v>774</v>
      </c>
      <c r="E63" s="15" t="s">
        <v>601</v>
      </c>
      <c r="F63" s="15" t="s">
        <v>629</v>
      </c>
      <c r="G63" s="15" t="s">
        <v>239</v>
      </c>
      <c r="H63" s="15" t="s">
        <v>53</v>
      </c>
      <c r="I63" s="15" t="s">
        <v>573</v>
      </c>
      <c r="J63" s="15" t="s">
        <v>43</v>
      </c>
      <c r="K63" s="22">
        <v>25</v>
      </c>
      <c r="L63" s="16">
        <v>46128</v>
      </c>
      <c r="M63" s="15"/>
      <c r="N63" s="15"/>
    </row>
    <row r="64" spans="1:14" outlineLevel="1" x14ac:dyDescent="0.25">
      <c r="A64" s="13">
        <v>51</v>
      </c>
      <c r="B64" s="13" t="s">
        <v>776</v>
      </c>
      <c r="C64" s="13" t="s">
        <v>443</v>
      </c>
      <c r="D64" s="13" t="s">
        <v>777</v>
      </c>
      <c r="E64" s="13" t="s">
        <v>650</v>
      </c>
      <c r="F64" s="13" t="s">
        <v>595</v>
      </c>
      <c r="G64" s="13" t="s">
        <v>239</v>
      </c>
      <c r="H64" s="13" t="s">
        <v>53</v>
      </c>
      <c r="I64" s="13" t="s">
        <v>573</v>
      </c>
      <c r="J64" s="13" t="s">
        <v>43</v>
      </c>
      <c r="K64" s="21">
        <v>25</v>
      </c>
      <c r="L64" s="14">
        <v>46128</v>
      </c>
      <c r="M64" s="13"/>
      <c r="N64" s="13" t="s">
        <v>793</v>
      </c>
    </row>
    <row r="65" spans="1:14" x14ac:dyDescent="0.25">
      <c r="K65" s="25"/>
      <c r="L65" s="11"/>
    </row>
    <row r="66" spans="1:14" x14ac:dyDescent="0.25">
      <c r="A66" s="9" t="s">
        <v>750</v>
      </c>
      <c r="B66" s="10"/>
      <c r="C66" s="10"/>
      <c r="D66" s="10"/>
      <c r="E66" s="10"/>
      <c r="F66" s="10"/>
      <c r="G66" s="10"/>
      <c r="H66" s="10"/>
      <c r="I66" s="10"/>
      <c r="J66" s="10"/>
      <c r="K66" s="26"/>
      <c r="L66" s="29"/>
      <c r="M66" s="10"/>
      <c r="N66" s="10"/>
    </row>
    <row r="67" spans="1:14" outlineLevel="1" x14ac:dyDescent="0.25">
      <c r="A67" s="13">
        <v>52</v>
      </c>
      <c r="B67" s="13" t="s">
        <v>463</v>
      </c>
      <c r="C67" s="13" t="s">
        <v>464</v>
      </c>
      <c r="D67" s="13" t="s">
        <v>465</v>
      </c>
      <c r="E67" s="13" t="s">
        <v>42</v>
      </c>
      <c r="F67" s="13" t="s">
        <v>574</v>
      </c>
      <c r="G67" s="13" t="s">
        <v>52</v>
      </c>
      <c r="H67" s="13" t="s">
        <v>53</v>
      </c>
      <c r="I67" s="13" t="s">
        <v>575</v>
      </c>
      <c r="J67" s="13" t="s">
        <v>54</v>
      </c>
      <c r="K67" s="21">
        <v>0</v>
      </c>
      <c r="L67" s="14">
        <v>46125</v>
      </c>
      <c r="M67" s="13"/>
      <c r="N67" s="13"/>
    </row>
    <row r="68" spans="1:14" outlineLevel="1" x14ac:dyDescent="0.25">
      <c r="A68" s="15">
        <v>53</v>
      </c>
      <c r="B68" s="15" t="s">
        <v>226</v>
      </c>
      <c r="C68" s="15" t="s">
        <v>227</v>
      </c>
      <c r="D68" s="15" t="s">
        <v>228</v>
      </c>
      <c r="E68" s="15" t="s">
        <v>42</v>
      </c>
      <c r="F68" s="15" t="s">
        <v>574</v>
      </c>
      <c r="G68" s="15" t="s">
        <v>52</v>
      </c>
      <c r="H68" s="15" t="s">
        <v>53</v>
      </c>
      <c r="I68" s="15" t="s">
        <v>575</v>
      </c>
      <c r="J68" s="15" t="s">
        <v>54</v>
      </c>
      <c r="K68" s="22">
        <v>0</v>
      </c>
      <c r="L68" s="16">
        <v>46119</v>
      </c>
      <c r="M68" s="15"/>
      <c r="N68" s="15"/>
    </row>
    <row r="69" spans="1:14" outlineLevel="1" x14ac:dyDescent="0.25">
      <c r="A69" s="13">
        <v>54</v>
      </c>
      <c r="B69" s="13" t="s">
        <v>49</v>
      </c>
      <c r="C69" s="13" t="s">
        <v>50</v>
      </c>
      <c r="D69" s="13" t="s">
        <v>51</v>
      </c>
      <c r="E69" s="13" t="s">
        <v>42</v>
      </c>
      <c r="F69" s="13" t="s">
        <v>574</v>
      </c>
      <c r="G69" s="13" t="s">
        <v>52</v>
      </c>
      <c r="H69" s="13" t="s">
        <v>53</v>
      </c>
      <c r="I69" s="13" t="s">
        <v>575</v>
      </c>
      <c r="J69" s="13" t="s">
        <v>54</v>
      </c>
      <c r="K69" s="21">
        <v>0</v>
      </c>
      <c r="L69" s="14">
        <v>46098</v>
      </c>
      <c r="M69" s="13"/>
      <c r="N69" s="13"/>
    </row>
    <row r="70" spans="1:14" outlineLevel="1" x14ac:dyDescent="0.25">
      <c r="A70" s="15">
        <v>55</v>
      </c>
      <c r="B70" s="15" t="s">
        <v>480</v>
      </c>
      <c r="C70" s="15" t="s">
        <v>481</v>
      </c>
      <c r="D70" s="15" t="s">
        <v>482</v>
      </c>
      <c r="E70" s="15"/>
      <c r="F70" s="15"/>
      <c r="G70" s="15" t="s">
        <v>52</v>
      </c>
      <c r="H70" s="15" t="s">
        <v>53</v>
      </c>
      <c r="I70" s="15" t="s">
        <v>575</v>
      </c>
      <c r="J70" s="15" t="s">
        <v>54</v>
      </c>
      <c r="K70" s="22">
        <v>0</v>
      </c>
      <c r="L70" s="16">
        <v>46126</v>
      </c>
      <c r="M70" s="15"/>
      <c r="N70" s="15"/>
    </row>
    <row r="71" spans="1:14" outlineLevel="1" x14ac:dyDescent="0.25">
      <c r="A71" s="13">
        <v>56</v>
      </c>
      <c r="B71" s="13" t="s">
        <v>88</v>
      </c>
      <c r="C71" s="13" t="s">
        <v>89</v>
      </c>
      <c r="D71" s="13" t="s">
        <v>90</v>
      </c>
      <c r="E71" s="13"/>
      <c r="F71" s="13"/>
      <c r="G71" s="13" t="s">
        <v>52</v>
      </c>
      <c r="H71" s="13" t="s">
        <v>53</v>
      </c>
      <c r="I71" s="13" t="s">
        <v>575</v>
      </c>
      <c r="J71" s="13" t="s">
        <v>54</v>
      </c>
      <c r="K71" s="21">
        <v>0</v>
      </c>
      <c r="L71" s="14">
        <v>46105</v>
      </c>
      <c r="M71" s="13"/>
      <c r="N71" s="13"/>
    </row>
    <row r="72" spans="1:14" outlineLevel="1" x14ac:dyDescent="0.25">
      <c r="A72" s="15">
        <v>57</v>
      </c>
      <c r="B72" s="15" t="s">
        <v>202</v>
      </c>
      <c r="C72" s="15" t="s">
        <v>203</v>
      </c>
      <c r="D72" s="15" t="s">
        <v>204</v>
      </c>
      <c r="E72" s="15" t="s">
        <v>42</v>
      </c>
      <c r="F72" s="15" t="s">
        <v>574</v>
      </c>
      <c r="G72" s="15" t="s">
        <v>52</v>
      </c>
      <c r="H72" s="15" t="s">
        <v>53</v>
      </c>
      <c r="I72" s="15" t="s">
        <v>575</v>
      </c>
      <c r="J72" s="15" t="s">
        <v>54</v>
      </c>
      <c r="K72" s="22">
        <v>0</v>
      </c>
      <c r="L72" s="16">
        <v>46119</v>
      </c>
      <c r="M72" s="15"/>
      <c r="N72" s="15"/>
    </row>
    <row r="73" spans="1:14" outlineLevel="1" x14ac:dyDescent="0.25">
      <c r="A73" s="13">
        <v>58</v>
      </c>
      <c r="B73" s="13" t="s">
        <v>395</v>
      </c>
      <c r="C73" s="13" t="s">
        <v>396</v>
      </c>
      <c r="D73" s="13" t="s">
        <v>397</v>
      </c>
      <c r="E73" s="13" t="s">
        <v>42</v>
      </c>
      <c r="F73" s="13" t="s">
        <v>574</v>
      </c>
      <c r="G73" s="13" t="s">
        <v>52</v>
      </c>
      <c r="H73" s="13" t="s">
        <v>53</v>
      </c>
      <c r="I73" s="13" t="s">
        <v>575</v>
      </c>
      <c r="J73" s="13" t="s">
        <v>54</v>
      </c>
      <c r="K73" s="21">
        <v>0</v>
      </c>
      <c r="L73" s="14">
        <v>46122</v>
      </c>
      <c r="M73" s="13" t="s">
        <v>663</v>
      </c>
      <c r="N73" s="13" t="s">
        <v>746</v>
      </c>
    </row>
    <row r="74" spans="1:14" outlineLevel="1" x14ac:dyDescent="0.25">
      <c r="A74" s="15">
        <v>59</v>
      </c>
      <c r="B74" s="15" t="s">
        <v>120</v>
      </c>
      <c r="C74" s="15" t="s">
        <v>486</v>
      </c>
      <c r="D74" s="15" t="s">
        <v>487</v>
      </c>
      <c r="E74" s="15"/>
      <c r="F74" s="15"/>
      <c r="G74" s="15" t="s">
        <v>52</v>
      </c>
      <c r="H74" s="15" t="s">
        <v>53</v>
      </c>
      <c r="I74" s="15" t="s">
        <v>575</v>
      </c>
      <c r="J74" s="15" t="s">
        <v>54</v>
      </c>
      <c r="K74" s="22">
        <v>0</v>
      </c>
      <c r="L74" s="16">
        <v>46126</v>
      </c>
      <c r="M74" s="15"/>
      <c r="N74" s="15"/>
    </row>
    <row r="75" spans="1:14" outlineLevel="1" x14ac:dyDescent="0.25">
      <c r="A75" s="13">
        <v>60</v>
      </c>
      <c r="B75" s="13" t="s">
        <v>636</v>
      </c>
      <c r="C75" s="13" t="s">
        <v>553</v>
      </c>
      <c r="D75" s="13" t="s">
        <v>554</v>
      </c>
      <c r="E75" s="13" t="s">
        <v>42</v>
      </c>
      <c r="F75" s="13" t="s">
        <v>574</v>
      </c>
      <c r="G75" s="13" t="s">
        <v>52</v>
      </c>
      <c r="H75" s="13" t="s">
        <v>53</v>
      </c>
      <c r="I75" s="13" t="s">
        <v>575</v>
      </c>
      <c r="J75" s="13" t="s">
        <v>54</v>
      </c>
      <c r="K75" s="21">
        <v>0</v>
      </c>
      <c r="L75" s="14">
        <v>46127</v>
      </c>
      <c r="M75" s="13"/>
      <c r="N75" s="13"/>
    </row>
    <row r="76" spans="1:14" outlineLevel="1" x14ac:dyDescent="0.25">
      <c r="A76" s="15">
        <v>61</v>
      </c>
      <c r="B76" s="15" t="s">
        <v>208</v>
      </c>
      <c r="C76" s="15" t="s">
        <v>209</v>
      </c>
      <c r="D76" s="15" t="s">
        <v>210</v>
      </c>
      <c r="E76" s="15" t="s">
        <v>42</v>
      </c>
      <c r="F76" s="15" t="s">
        <v>574</v>
      </c>
      <c r="G76" s="15" t="s">
        <v>52</v>
      </c>
      <c r="H76" s="15" t="s">
        <v>53</v>
      </c>
      <c r="I76" s="15" t="s">
        <v>575</v>
      </c>
      <c r="J76" s="15" t="s">
        <v>54</v>
      </c>
      <c r="K76" s="22">
        <v>0</v>
      </c>
      <c r="L76" s="16">
        <v>46119</v>
      </c>
      <c r="M76" s="15"/>
      <c r="N76" s="15"/>
    </row>
    <row r="77" spans="1:14" outlineLevel="1" x14ac:dyDescent="0.25">
      <c r="A77" s="18"/>
      <c r="B77" s="18" t="s">
        <v>155</v>
      </c>
      <c r="C77" s="18" t="s">
        <v>155</v>
      </c>
      <c r="D77" s="18" t="s">
        <v>592</v>
      </c>
      <c r="E77" s="18"/>
      <c r="F77" s="18"/>
      <c r="G77" s="18" t="s">
        <v>52</v>
      </c>
      <c r="H77" s="18" t="s">
        <v>53</v>
      </c>
      <c r="I77" s="18" t="s">
        <v>575</v>
      </c>
      <c r="J77" s="18" t="s">
        <v>176</v>
      </c>
      <c r="K77" s="27">
        <v>0</v>
      </c>
      <c r="L77" s="19">
        <v>46113</v>
      </c>
      <c r="M77" s="18" t="s">
        <v>747</v>
      </c>
      <c r="N77" s="18" t="s">
        <v>748</v>
      </c>
    </row>
    <row r="78" spans="1:14" outlineLevel="1" x14ac:dyDescent="0.25">
      <c r="A78" s="15">
        <v>62</v>
      </c>
      <c r="B78" s="15" t="s">
        <v>220</v>
      </c>
      <c r="C78" s="15" t="s">
        <v>221</v>
      </c>
      <c r="D78" s="15" t="s">
        <v>222</v>
      </c>
      <c r="E78" s="15" t="s">
        <v>42</v>
      </c>
      <c r="F78" s="15" t="s">
        <v>574</v>
      </c>
      <c r="G78" s="15" t="s">
        <v>52</v>
      </c>
      <c r="H78" s="15" t="s">
        <v>53</v>
      </c>
      <c r="I78" s="15" t="s">
        <v>575</v>
      </c>
      <c r="J78" s="15" t="s">
        <v>54</v>
      </c>
      <c r="K78" s="22">
        <v>0</v>
      </c>
      <c r="L78" s="16">
        <v>46119</v>
      </c>
      <c r="M78" s="15"/>
      <c r="N78" s="15"/>
    </row>
    <row r="79" spans="1:14" outlineLevel="1" x14ac:dyDescent="0.25">
      <c r="A79" s="13">
        <v>63</v>
      </c>
      <c r="B79" s="13" t="s">
        <v>196</v>
      </c>
      <c r="C79" s="13" t="s">
        <v>197</v>
      </c>
      <c r="D79" s="13" t="s">
        <v>198</v>
      </c>
      <c r="E79" s="13" t="s">
        <v>42</v>
      </c>
      <c r="F79" s="13" t="s">
        <v>574</v>
      </c>
      <c r="G79" s="13" t="s">
        <v>52</v>
      </c>
      <c r="H79" s="13" t="s">
        <v>53</v>
      </c>
      <c r="I79" s="13" t="s">
        <v>575</v>
      </c>
      <c r="J79" s="13" t="s">
        <v>54</v>
      </c>
      <c r="K79" s="21">
        <v>0</v>
      </c>
      <c r="L79" s="14">
        <v>46119</v>
      </c>
      <c r="M79" s="13"/>
      <c r="N79" s="13"/>
    </row>
    <row r="80" spans="1:14" outlineLevel="1" x14ac:dyDescent="0.25">
      <c r="A80" s="15">
        <v>64</v>
      </c>
      <c r="B80" s="15" t="s">
        <v>58</v>
      </c>
      <c r="C80" s="15" t="s">
        <v>59</v>
      </c>
      <c r="D80" s="15" t="s">
        <v>60</v>
      </c>
      <c r="E80" s="15" t="s">
        <v>42</v>
      </c>
      <c r="F80" s="15" t="s">
        <v>574</v>
      </c>
      <c r="G80" s="15" t="s">
        <v>61</v>
      </c>
      <c r="H80" s="15" t="s">
        <v>62</v>
      </c>
      <c r="I80" s="15" t="s">
        <v>575</v>
      </c>
      <c r="J80" s="15" t="s">
        <v>54</v>
      </c>
      <c r="K80" s="22">
        <v>0</v>
      </c>
      <c r="L80" s="16">
        <v>46101</v>
      </c>
      <c r="M80" s="15"/>
      <c r="N80" s="15"/>
    </row>
    <row r="81" spans="1:14" outlineLevel="1" x14ac:dyDescent="0.25">
      <c r="A81" s="13">
        <v>65</v>
      </c>
      <c r="B81" s="13" t="s">
        <v>707</v>
      </c>
      <c r="C81" s="13" t="s">
        <v>708</v>
      </c>
      <c r="D81" s="13" t="s">
        <v>709</v>
      </c>
      <c r="E81" s="13"/>
      <c r="F81" s="13"/>
      <c r="G81" s="13" t="s">
        <v>710</v>
      </c>
      <c r="H81" s="13" t="s">
        <v>731</v>
      </c>
      <c r="I81" s="13" t="s">
        <v>575</v>
      </c>
      <c r="J81" s="13" t="s">
        <v>54</v>
      </c>
      <c r="K81" s="21">
        <v>0</v>
      </c>
      <c r="L81" s="14">
        <v>46128</v>
      </c>
      <c r="M81" s="13" t="s">
        <v>663</v>
      </c>
      <c r="N81" s="13" t="s">
        <v>749</v>
      </c>
    </row>
    <row r="82" spans="1:14" outlineLevel="1" x14ac:dyDescent="0.25">
      <c r="A82" s="20">
        <v>66</v>
      </c>
      <c r="B82" s="20" t="s">
        <v>593</v>
      </c>
      <c r="C82" s="20" t="s">
        <v>443</v>
      </c>
      <c r="D82" s="20" t="s">
        <v>165</v>
      </c>
      <c r="E82" s="20" t="s">
        <v>664</v>
      </c>
      <c r="F82" s="20" t="s">
        <v>574</v>
      </c>
      <c r="G82" s="20" t="s">
        <v>164</v>
      </c>
      <c r="H82" s="20" t="s">
        <v>35</v>
      </c>
      <c r="I82" s="20" t="s">
        <v>575</v>
      </c>
      <c r="J82" s="20" t="s">
        <v>43</v>
      </c>
      <c r="K82" s="24">
        <v>0</v>
      </c>
      <c r="L82" s="28">
        <v>46114</v>
      </c>
      <c r="M82" s="20"/>
      <c r="N82" s="20" t="s">
        <v>665</v>
      </c>
    </row>
    <row r="83" spans="1:14" outlineLevel="1" x14ac:dyDescent="0.25">
      <c r="A83" s="13">
        <v>67</v>
      </c>
      <c r="B83" s="13" t="s">
        <v>540</v>
      </c>
      <c r="C83" s="13" t="s">
        <v>632</v>
      </c>
      <c r="D83" s="13" t="s">
        <v>542</v>
      </c>
      <c r="E83" s="13" t="s">
        <v>42</v>
      </c>
      <c r="F83" s="13" t="s">
        <v>574</v>
      </c>
      <c r="G83" s="13" t="s">
        <v>52</v>
      </c>
      <c r="H83" s="13" t="s">
        <v>53</v>
      </c>
      <c r="I83" s="13" t="s">
        <v>575</v>
      </c>
      <c r="J83" s="13" t="s">
        <v>54</v>
      </c>
      <c r="K83" s="21">
        <v>0</v>
      </c>
      <c r="L83" s="14">
        <v>46127</v>
      </c>
      <c r="M83" s="13"/>
      <c r="N83" s="13"/>
    </row>
    <row r="84" spans="1:14" outlineLevel="1" x14ac:dyDescent="0.25">
      <c r="A84" s="15">
        <v>68</v>
      </c>
      <c r="B84" s="15" t="s">
        <v>94</v>
      </c>
      <c r="C84" s="15" t="s">
        <v>96</v>
      </c>
      <c r="D84" s="15" t="s">
        <v>95</v>
      </c>
      <c r="E84" s="15" t="s">
        <v>42</v>
      </c>
      <c r="F84" s="15" t="s">
        <v>574</v>
      </c>
      <c r="G84" s="15" t="s">
        <v>52</v>
      </c>
      <c r="H84" s="15" t="s">
        <v>53</v>
      </c>
      <c r="I84" s="15" t="s">
        <v>575</v>
      </c>
      <c r="J84" s="15" t="s">
        <v>54</v>
      </c>
      <c r="K84" s="22">
        <v>0</v>
      </c>
      <c r="L84" s="16">
        <v>46106</v>
      </c>
      <c r="M84" s="15"/>
      <c r="N84" s="15"/>
    </row>
    <row r="85" spans="1:14" outlineLevel="1" x14ac:dyDescent="0.25">
      <c r="A85" s="13">
        <v>69</v>
      </c>
      <c r="B85" s="13" t="s">
        <v>402</v>
      </c>
      <c r="C85" s="13" t="s">
        <v>403</v>
      </c>
      <c r="D85" s="13" t="s">
        <v>404</v>
      </c>
      <c r="E85" s="13" t="s">
        <v>42</v>
      </c>
      <c r="F85" s="13" t="s">
        <v>574</v>
      </c>
      <c r="G85" s="13" t="s">
        <v>52</v>
      </c>
      <c r="H85" s="13" t="s">
        <v>53</v>
      </c>
      <c r="I85" s="13" t="s">
        <v>575</v>
      </c>
      <c r="J85" s="13" t="s">
        <v>54</v>
      </c>
      <c r="K85" s="21">
        <v>0</v>
      </c>
      <c r="L85" s="14">
        <v>46123</v>
      </c>
      <c r="M85" s="13"/>
      <c r="N85" s="13"/>
    </row>
    <row r="86" spans="1:14" outlineLevel="1" x14ac:dyDescent="0.25">
      <c r="A86" s="15">
        <v>70</v>
      </c>
      <c r="B86" s="15" t="s">
        <v>469</v>
      </c>
      <c r="C86" s="15" t="s">
        <v>470</v>
      </c>
      <c r="D86" s="15" t="s">
        <v>471</v>
      </c>
      <c r="E86" s="15" t="s">
        <v>42</v>
      </c>
      <c r="F86" s="15" t="s">
        <v>574</v>
      </c>
      <c r="G86" s="15" t="s">
        <v>52</v>
      </c>
      <c r="H86" s="15" t="s">
        <v>53</v>
      </c>
      <c r="I86" s="15" t="s">
        <v>575</v>
      </c>
      <c r="J86" s="15" t="s">
        <v>54</v>
      </c>
      <c r="K86" s="22">
        <v>0</v>
      </c>
      <c r="L86" s="16">
        <v>46126</v>
      </c>
      <c r="M86" s="15"/>
      <c r="N86" s="15"/>
    </row>
    <row r="87" spans="1:14" outlineLevel="1" x14ac:dyDescent="0.25">
      <c r="A87" s="13">
        <v>71</v>
      </c>
      <c r="B87" s="13" t="s">
        <v>522</v>
      </c>
      <c r="C87" s="13" t="s">
        <v>523</v>
      </c>
      <c r="D87" s="13" t="s">
        <v>524</v>
      </c>
      <c r="E87" s="13" t="s">
        <v>42</v>
      </c>
      <c r="F87" s="13" t="s">
        <v>574</v>
      </c>
      <c r="G87" s="13" t="s">
        <v>52</v>
      </c>
      <c r="H87" s="13" t="s">
        <v>53</v>
      </c>
      <c r="I87" s="13" t="s">
        <v>575</v>
      </c>
      <c r="J87" s="13" t="s">
        <v>54</v>
      </c>
      <c r="K87" s="21">
        <v>0</v>
      </c>
      <c r="L87" s="14">
        <v>46127</v>
      </c>
      <c r="M87" s="13"/>
      <c r="N87" s="13"/>
    </row>
    <row r="88" spans="1:14" outlineLevel="1" x14ac:dyDescent="0.25">
      <c r="A88" s="20">
        <v>72</v>
      </c>
      <c r="B88" s="20" t="s">
        <v>666</v>
      </c>
      <c r="C88" s="20" t="s">
        <v>807</v>
      </c>
      <c r="D88" s="62" t="s">
        <v>806</v>
      </c>
      <c r="E88" s="20" t="s">
        <v>42</v>
      </c>
      <c r="F88" s="20" t="s">
        <v>574</v>
      </c>
      <c r="G88" s="20" t="s">
        <v>52</v>
      </c>
      <c r="H88" s="20" t="s">
        <v>53</v>
      </c>
      <c r="I88" s="20" t="s">
        <v>575</v>
      </c>
      <c r="J88" s="20"/>
      <c r="K88" s="24">
        <v>0</v>
      </c>
      <c r="L88" s="28"/>
      <c r="M88" s="20"/>
      <c r="N88" s="20" t="s">
        <v>651</v>
      </c>
    </row>
    <row r="89" spans="1:14" outlineLevel="1" x14ac:dyDescent="0.25">
      <c r="A89" s="13">
        <v>73</v>
      </c>
      <c r="B89" s="13" t="s">
        <v>260</v>
      </c>
      <c r="C89" s="13" t="s">
        <v>261</v>
      </c>
      <c r="D89" s="13" t="s">
        <v>262</v>
      </c>
      <c r="E89" s="13" t="s">
        <v>42</v>
      </c>
      <c r="F89" s="13" t="s">
        <v>574</v>
      </c>
      <c r="G89" s="13" t="s">
        <v>52</v>
      </c>
      <c r="H89" s="13" t="s">
        <v>53</v>
      </c>
      <c r="I89" s="13" t="s">
        <v>575</v>
      </c>
      <c r="J89" s="13" t="s">
        <v>54</v>
      </c>
      <c r="K89" s="21">
        <v>0</v>
      </c>
      <c r="L89" s="14">
        <v>46120</v>
      </c>
      <c r="M89" s="13"/>
      <c r="N89" s="13"/>
    </row>
    <row r="90" spans="1:14" outlineLevel="1" x14ac:dyDescent="0.25">
      <c r="A90" s="15">
        <v>74</v>
      </c>
      <c r="B90" s="15" t="s">
        <v>491</v>
      </c>
      <c r="C90" s="15" t="s">
        <v>492</v>
      </c>
      <c r="D90" s="15" t="s">
        <v>493</v>
      </c>
      <c r="E90" s="15" t="s">
        <v>42</v>
      </c>
      <c r="F90" s="15" t="s">
        <v>574</v>
      </c>
      <c r="G90" s="15" t="s">
        <v>52</v>
      </c>
      <c r="H90" s="15" t="s">
        <v>53</v>
      </c>
      <c r="I90" s="15" t="s">
        <v>575</v>
      </c>
      <c r="J90" s="15" t="s">
        <v>54</v>
      </c>
      <c r="K90" s="22">
        <v>0</v>
      </c>
      <c r="L90" s="16">
        <v>46126</v>
      </c>
      <c r="M90" s="15"/>
      <c r="N90" s="15"/>
    </row>
    <row r="91" spans="1:14" outlineLevel="1" x14ac:dyDescent="0.25">
      <c r="A91" s="13">
        <v>75</v>
      </c>
      <c r="B91" s="13" t="s">
        <v>100</v>
      </c>
      <c r="C91" s="13" t="s">
        <v>101</v>
      </c>
      <c r="D91" s="13" t="s">
        <v>102</v>
      </c>
      <c r="E91" s="13" t="s">
        <v>42</v>
      </c>
      <c r="F91" s="13" t="s">
        <v>574</v>
      </c>
      <c r="G91" s="13" t="s">
        <v>52</v>
      </c>
      <c r="H91" s="13" t="s">
        <v>53</v>
      </c>
      <c r="I91" s="13" t="s">
        <v>575</v>
      </c>
      <c r="J91" s="13" t="s">
        <v>54</v>
      </c>
      <c r="K91" s="21">
        <v>0</v>
      </c>
      <c r="L91" s="14">
        <v>46107</v>
      </c>
      <c r="M91" s="13"/>
      <c r="N91" s="13"/>
    </row>
    <row r="92" spans="1:14" outlineLevel="1" x14ac:dyDescent="0.25">
      <c r="A92" s="20">
        <v>76</v>
      </c>
      <c r="B92" s="20" t="s">
        <v>667</v>
      </c>
      <c r="C92" s="20" t="s">
        <v>805</v>
      </c>
      <c r="D92" s="62" t="s">
        <v>804</v>
      </c>
      <c r="E92" s="20" t="s">
        <v>42</v>
      </c>
      <c r="F92" s="20" t="s">
        <v>574</v>
      </c>
      <c r="G92" s="20" t="s">
        <v>52</v>
      </c>
      <c r="H92" s="20" t="s">
        <v>53</v>
      </c>
      <c r="I92" s="20" t="s">
        <v>575</v>
      </c>
      <c r="J92" s="20"/>
      <c r="K92" s="24">
        <v>0</v>
      </c>
      <c r="L92" s="28"/>
      <c r="M92" s="20"/>
      <c r="N92" s="20" t="s">
        <v>651</v>
      </c>
    </row>
    <row r="93" spans="1:14" outlineLevel="1" x14ac:dyDescent="0.25">
      <c r="A93" s="13">
        <v>77</v>
      </c>
      <c r="B93" s="13" t="s">
        <v>310</v>
      </c>
      <c r="C93" s="13" t="s">
        <v>311</v>
      </c>
      <c r="D93" s="13" t="s">
        <v>312</v>
      </c>
      <c r="E93" s="13" t="s">
        <v>42</v>
      </c>
      <c r="F93" s="13" t="s">
        <v>574</v>
      </c>
      <c r="G93" s="13" t="s">
        <v>313</v>
      </c>
      <c r="H93" s="13" t="s">
        <v>314</v>
      </c>
      <c r="I93" s="13" t="s">
        <v>575</v>
      </c>
      <c r="J93" s="13" t="s">
        <v>54</v>
      </c>
      <c r="K93" s="21">
        <v>0</v>
      </c>
      <c r="L93" s="14">
        <v>46121</v>
      </c>
      <c r="M93" s="13"/>
      <c r="N93" s="13"/>
    </row>
    <row r="94" spans="1:14" outlineLevel="1" x14ac:dyDescent="0.25">
      <c r="A94" s="15">
        <v>78</v>
      </c>
      <c r="B94" s="15" t="s">
        <v>341</v>
      </c>
      <c r="C94" s="15" t="s">
        <v>342</v>
      </c>
      <c r="D94" s="15" t="s">
        <v>343</v>
      </c>
      <c r="E94" s="15"/>
      <c r="F94" s="15"/>
      <c r="G94" s="15" t="s">
        <v>52</v>
      </c>
      <c r="H94" s="15" t="s">
        <v>53</v>
      </c>
      <c r="I94" s="15" t="s">
        <v>575</v>
      </c>
      <c r="J94" s="15" t="s">
        <v>54</v>
      </c>
      <c r="K94" s="22">
        <v>0</v>
      </c>
      <c r="L94" s="16">
        <v>46122</v>
      </c>
      <c r="M94" s="15"/>
      <c r="N94" s="15"/>
    </row>
    <row r="95" spans="1:14" outlineLevel="1" x14ac:dyDescent="0.25">
      <c r="A95" s="20">
        <v>79</v>
      </c>
      <c r="B95" s="20" t="s">
        <v>668</v>
      </c>
      <c r="C95" s="20" t="s">
        <v>809</v>
      </c>
      <c r="D95" s="62" t="s">
        <v>808</v>
      </c>
      <c r="E95" s="20" t="s">
        <v>42</v>
      </c>
      <c r="F95" s="20" t="s">
        <v>574</v>
      </c>
      <c r="G95" s="20" t="s">
        <v>52</v>
      </c>
      <c r="H95" s="20" t="s">
        <v>53</v>
      </c>
      <c r="I95" s="20" t="s">
        <v>575</v>
      </c>
      <c r="J95" s="20"/>
      <c r="K95" s="24">
        <v>0</v>
      </c>
      <c r="L95" s="28"/>
      <c r="M95" s="20"/>
      <c r="N95" s="20" t="s">
        <v>651</v>
      </c>
    </row>
    <row r="96" spans="1:14" outlineLevel="1" x14ac:dyDescent="0.25">
      <c r="A96" s="15">
        <v>80</v>
      </c>
      <c r="B96" s="15" t="s">
        <v>323</v>
      </c>
      <c r="C96" s="15" t="s">
        <v>324</v>
      </c>
      <c r="D96" s="15" t="s">
        <v>325</v>
      </c>
      <c r="E96" s="15" t="s">
        <v>42</v>
      </c>
      <c r="F96" s="15" t="s">
        <v>574</v>
      </c>
      <c r="G96" s="15" t="s">
        <v>52</v>
      </c>
      <c r="H96" s="15" t="s">
        <v>53</v>
      </c>
      <c r="I96" s="15" t="s">
        <v>575</v>
      </c>
      <c r="J96" s="15" t="s">
        <v>54</v>
      </c>
      <c r="K96" s="22">
        <v>0</v>
      </c>
      <c r="L96" s="16">
        <v>46121</v>
      </c>
      <c r="M96" s="15"/>
      <c r="N96" s="15"/>
    </row>
    <row r="97" spans="1:14" outlineLevel="1" x14ac:dyDescent="0.25">
      <c r="A97" s="13">
        <v>81</v>
      </c>
      <c r="B97" s="13" t="s">
        <v>367</v>
      </c>
      <c r="C97" s="13" t="s">
        <v>368</v>
      </c>
      <c r="D97" s="13" t="s">
        <v>369</v>
      </c>
      <c r="E97" s="13" t="s">
        <v>42</v>
      </c>
      <c r="F97" s="13" t="s">
        <v>574</v>
      </c>
      <c r="G97" s="13" t="s">
        <v>164</v>
      </c>
      <c r="H97" s="13" t="s">
        <v>53</v>
      </c>
      <c r="I97" s="13" t="s">
        <v>575</v>
      </c>
      <c r="J97" s="13" t="s">
        <v>54</v>
      </c>
      <c r="K97" s="21">
        <v>0</v>
      </c>
      <c r="L97" s="14">
        <v>46122</v>
      </c>
      <c r="M97" s="13"/>
      <c r="N97" s="13"/>
    </row>
    <row r="98" spans="1:14" outlineLevel="1" x14ac:dyDescent="0.25">
      <c r="A98" s="15">
        <v>82</v>
      </c>
      <c r="B98" s="15" t="s">
        <v>214</v>
      </c>
      <c r="C98" s="15" t="s">
        <v>215</v>
      </c>
      <c r="D98" s="15" t="s">
        <v>216</v>
      </c>
      <c r="E98" s="15" t="s">
        <v>42</v>
      </c>
      <c r="F98" s="15" t="s">
        <v>574</v>
      </c>
      <c r="G98" s="15" t="s">
        <v>52</v>
      </c>
      <c r="H98" s="15" t="s">
        <v>53</v>
      </c>
      <c r="I98" s="15" t="s">
        <v>575</v>
      </c>
      <c r="J98" s="15" t="s">
        <v>54</v>
      </c>
      <c r="K98" s="22">
        <v>0</v>
      </c>
      <c r="L98" s="16">
        <v>46119</v>
      </c>
      <c r="M98" s="15"/>
      <c r="N98" s="15"/>
    </row>
    <row r="99" spans="1:14" outlineLevel="1" x14ac:dyDescent="0.25">
      <c r="A99" s="13">
        <v>83</v>
      </c>
      <c r="B99" s="13" t="s">
        <v>304</v>
      </c>
      <c r="C99" s="13" t="s">
        <v>305</v>
      </c>
      <c r="D99" s="13" t="s">
        <v>306</v>
      </c>
      <c r="E99" s="13" t="s">
        <v>42</v>
      </c>
      <c r="F99" s="13" t="s">
        <v>574</v>
      </c>
      <c r="G99" s="13" t="s">
        <v>52</v>
      </c>
      <c r="H99" s="13" t="s">
        <v>53</v>
      </c>
      <c r="I99" s="13" t="s">
        <v>575</v>
      </c>
      <c r="J99" s="13" t="s">
        <v>54</v>
      </c>
      <c r="K99" s="21">
        <v>0</v>
      </c>
      <c r="L99" s="14">
        <v>46121</v>
      </c>
      <c r="M99" s="13"/>
      <c r="N99" s="13"/>
    </row>
    <row r="100" spans="1:14" outlineLevel="1" x14ac:dyDescent="0.25">
      <c r="A100" s="15">
        <v>84</v>
      </c>
      <c r="B100" s="15" t="s">
        <v>409</v>
      </c>
      <c r="C100" s="15" t="s">
        <v>410</v>
      </c>
      <c r="D100" s="15" t="s">
        <v>411</v>
      </c>
      <c r="E100" s="15" t="s">
        <v>42</v>
      </c>
      <c r="F100" s="15" t="s">
        <v>574</v>
      </c>
      <c r="G100" s="15" t="s">
        <v>408</v>
      </c>
      <c r="H100" s="15" t="s">
        <v>53</v>
      </c>
      <c r="I100" s="15" t="s">
        <v>742</v>
      </c>
      <c r="J100" s="15" t="s">
        <v>54</v>
      </c>
      <c r="K100" s="22">
        <v>0</v>
      </c>
      <c r="L100" s="16">
        <v>46126</v>
      </c>
      <c r="M100" s="15"/>
      <c r="N100" s="15"/>
    </row>
    <row r="101" spans="1:14" outlineLevel="1" x14ac:dyDescent="0.25">
      <c r="A101" s="13">
        <v>85</v>
      </c>
      <c r="B101" s="13" t="s">
        <v>335</v>
      </c>
      <c r="C101" s="13" t="s">
        <v>336</v>
      </c>
      <c r="D101" s="13" t="s">
        <v>337</v>
      </c>
      <c r="E101" s="13" t="s">
        <v>42</v>
      </c>
      <c r="F101" s="13" t="s">
        <v>574</v>
      </c>
      <c r="G101" s="13" t="s">
        <v>52</v>
      </c>
      <c r="H101" s="13" t="s">
        <v>53</v>
      </c>
      <c r="I101" s="13" t="s">
        <v>742</v>
      </c>
      <c r="J101" s="13" t="s">
        <v>54</v>
      </c>
      <c r="K101" s="21">
        <v>0</v>
      </c>
      <c r="L101" s="14">
        <v>46123</v>
      </c>
      <c r="M101" s="13"/>
      <c r="N101" s="13"/>
    </row>
    <row r="102" spans="1:14" outlineLevel="1" x14ac:dyDescent="0.25">
      <c r="A102" s="15">
        <v>86</v>
      </c>
      <c r="B102" s="15" t="s">
        <v>156</v>
      </c>
      <c r="C102" s="15" t="s">
        <v>157</v>
      </c>
      <c r="D102" s="15" t="s">
        <v>158</v>
      </c>
      <c r="E102" s="15" t="s">
        <v>42</v>
      </c>
      <c r="F102" s="15" t="s">
        <v>574</v>
      </c>
      <c r="G102" s="15" t="s">
        <v>52</v>
      </c>
      <c r="H102" s="15" t="s">
        <v>53</v>
      </c>
      <c r="I102" s="15" t="s">
        <v>742</v>
      </c>
      <c r="J102" s="15" t="s">
        <v>54</v>
      </c>
      <c r="K102" s="22">
        <v>0</v>
      </c>
      <c r="L102" s="16">
        <v>46106</v>
      </c>
      <c r="M102" s="15"/>
      <c r="N102" s="15" t="s">
        <v>743</v>
      </c>
    </row>
    <row r="103" spans="1:14" outlineLevel="1" x14ac:dyDescent="0.25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9"/>
      <c r="L103" s="60"/>
      <c r="M103" s="58"/>
      <c r="N103" s="58"/>
    </row>
    <row r="104" spans="1:14" x14ac:dyDescent="0.25">
      <c r="A104" s="9" t="s">
        <v>795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26"/>
      <c r="L104" s="29"/>
      <c r="M104" s="10"/>
      <c r="N104" s="10"/>
    </row>
    <row r="105" spans="1:14" outlineLevel="1" x14ac:dyDescent="0.25">
      <c r="A105" s="13">
        <v>87</v>
      </c>
      <c r="B105" s="13" t="s">
        <v>373</v>
      </c>
      <c r="C105" s="13" t="s">
        <v>374</v>
      </c>
      <c r="D105" s="13" t="s">
        <v>375</v>
      </c>
      <c r="E105" s="13" t="s">
        <v>616</v>
      </c>
      <c r="F105" s="13" t="s">
        <v>574</v>
      </c>
      <c r="G105" s="13" t="s">
        <v>376</v>
      </c>
      <c r="H105" s="13" t="s">
        <v>53</v>
      </c>
      <c r="I105" s="13" t="s">
        <v>575</v>
      </c>
      <c r="J105" s="13" t="s">
        <v>176</v>
      </c>
      <c r="K105" s="21">
        <v>0</v>
      </c>
      <c r="L105" s="14">
        <v>46122</v>
      </c>
      <c r="M105" s="13"/>
      <c r="N105" s="13"/>
    </row>
    <row r="106" spans="1:14" outlineLevel="1" x14ac:dyDescent="0.25">
      <c r="A106" s="15">
        <v>88</v>
      </c>
      <c r="B106" s="15" t="s">
        <v>329</v>
      </c>
      <c r="C106" s="15" t="s">
        <v>611</v>
      </c>
      <c r="D106" s="15" t="s">
        <v>331</v>
      </c>
      <c r="E106" s="15"/>
      <c r="F106" s="15"/>
      <c r="G106" s="15" t="s">
        <v>52</v>
      </c>
      <c r="H106" s="15" t="s">
        <v>53</v>
      </c>
      <c r="I106" s="15" t="s">
        <v>575</v>
      </c>
      <c r="J106" s="15" t="s">
        <v>176</v>
      </c>
      <c r="K106" s="22">
        <v>0</v>
      </c>
      <c r="L106" s="16">
        <v>46122</v>
      </c>
      <c r="M106" s="15"/>
      <c r="N106" s="15"/>
    </row>
    <row r="107" spans="1:14" outlineLevel="1" x14ac:dyDescent="0.25">
      <c r="A107" s="13">
        <v>89</v>
      </c>
      <c r="B107" s="13" t="s">
        <v>156</v>
      </c>
      <c r="C107" s="13" t="s">
        <v>715</v>
      </c>
      <c r="D107" s="13" t="s">
        <v>716</v>
      </c>
      <c r="E107" s="13"/>
      <c r="F107" s="13"/>
      <c r="G107" s="13" t="s">
        <v>52</v>
      </c>
      <c r="H107" s="13" t="s">
        <v>53</v>
      </c>
      <c r="I107" s="13" t="s">
        <v>575</v>
      </c>
      <c r="J107" s="13" t="s">
        <v>176</v>
      </c>
      <c r="K107" s="21">
        <v>0</v>
      </c>
      <c r="L107" s="14">
        <v>46128</v>
      </c>
      <c r="M107" s="13"/>
      <c r="N107" s="13"/>
    </row>
    <row r="108" spans="1:14" outlineLevel="1" x14ac:dyDescent="0.25">
      <c r="A108" s="15">
        <v>90</v>
      </c>
      <c r="B108" s="15" t="s">
        <v>633</v>
      </c>
      <c r="C108" s="15" t="s">
        <v>634</v>
      </c>
      <c r="D108" s="15" t="s">
        <v>548</v>
      </c>
      <c r="E108" s="15" t="s">
        <v>635</v>
      </c>
      <c r="F108" s="15" t="s">
        <v>574</v>
      </c>
      <c r="G108" s="15" t="s">
        <v>275</v>
      </c>
      <c r="H108" s="15" t="s">
        <v>53</v>
      </c>
      <c r="I108" s="15" t="s">
        <v>575</v>
      </c>
      <c r="J108" s="15" t="s">
        <v>176</v>
      </c>
      <c r="K108" s="22">
        <v>0</v>
      </c>
      <c r="L108" s="16">
        <v>46127</v>
      </c>
      <c r="M108" s="15"/>
      <c r="N108" s="15"/>
    </row>
    <row r="109" spans="1:14" outlineLevel="1" x14ac:dyDescent="0.25">
      <c r="A109" s="13">
        <v>91</v>
      </c>
      <c r="B109" s="13" t="s">
        <v>347</v>
      </c>
      <c r="C109" s="13" t="s">
        <v>348</v>
      </c>
      <c r="D109" s="13" t="s">
        <v>349</v>
      </c>
      <c r="E109" s="13"/>
      <c r="F109" s="13"/>
      <c r="G109" s="13" t="s">
        <v>52</v>
      </c>
      <c r="H109" s="13" t="s">
        <v>53</v>
      </c>
      <c r="I109" s="13" t="s">
        <v>575</v>
      </c>
      <c r="J109" s="13" t="s">
        <v>176</v>
      </c>
      <c r="K109" s="21">
        <v>0</v>
      </c>
      <c r="L109" s="14">
        <v>46122</v>
      </c>
      <c r="M109" s="13"/>
      <c r="N109" s="13"/>
    </row>
    <row r="110" spans="1:14" outlineLevel="1" x14ac:dyDescent="0.25">
      <c r="A110" s="15">
        <v>92</v>
      </c>
      <c r="B110" s="15" t="s">
        <v>433</v>
      </c>
      <c r="C110" s="15" t="s">
        <v>434</v>
      </c>
      <c r="D110" s="15" t="s">
        <v>435</v>
      </c>
      <c r="E110" s="15"/>
      <c r="F110" s="15"/>
      <c r="G110" s="15" t="s">
        <v>52</v>
      </c>
      <c r="H110" s="15" t="s">
        <v>53</v>
      </c>
      <c r="I110" s="15" t="s">
        <v>575</v>
      </c>
      <c r="J110" s="15" t="s">
        <v>176</v>
      </c>
      <c r="K110" s="22">
        <v>0</v>
      </c>
      <c r="L110" s="16">
        <v>46125</v>
      </c>
      <c r="M110" s="15"/>
      <c r="N110" s="15"/>
    </row>
    <row r="111" spans="1:14" outlineLevel="1" x14ac:dyDescent="0.25">
      <c r="A111" s="13">
        <v>93</v>
      </c>
      <c r="B111" s="13" t="s">
        <v>497</v>
      </c>
      <c r="C111" s="13" t="s">
        <v>498</v>
      </c>
      <c r="D111" s="13" t="s">
        <v>499</v>
      </c>
      <c r="E111" s="13"/>
      <c r="F111" s="13"/>
      <c r="G111" s="13" t="s">
        <v>52</v>
      </c>
      <c r="H111" s="13" t="s">
        <v>53</v>
      </c>
      <c r="I111" s="13" t="s">
        <v>575</v>
      </c>
      <c r="J111" s="13" t="s">
        <v>176</v>
      </c>
      <c r="K111" s="21">
        <v>0</v>
      </c>
      <c r="L111" s="14">
        <v>46126</v>
      </c>
      <c r="M111" s="13"/>
      <c r="N111" s="13"/>
    </row>
    <row r="112" spans="1:14" outlineLevel="1" x14ac:dyDescent="0.25">
      <c r="A112" s="15">
        <v>94</v>
      </c>
      <c r="B112" s="15" t="s">
        <v>172</v>
      </c>
      <c r="C112" s="15" t="s">
        <v>173</v>
      </c>
      <c r="D112" s="15" t="s">
        <v>174</v>
      </c>
      <c r="E112" s="15"/>
      <c r="F112" s="15"/>
      <c r="G112" s="15" t="s">
        <v>175</v>
      </c>
      <c r="H112" s="15" t="s">
        <v>53</v>
      </c>
      <c r="I112" s="15" t="s">
        <v>575</v>
      </c>
      <c r="J112" s="15" t="s">
        <v>176</v>
      </c>
      <c r="K112" s="22">
        <v>0</v>
      </c>
      <c r="L112" s="16">
        <v>46115</v>
      </c>
      <c r="M112" s="15"/>
      <c r="N112" s="15"/>
    </row>
    <row r="113" spans="1:14" outlineLevel="1" x14ac:dyDescent="0.25">
      <c r="A113" s="13">
        <v>95</v>
      </c>
      <c r="B113" s="13" t="s">
        <v>503</v>
      </c>
      <c r="C113" s="13" t="s">
        <v>504</v>
      </c>
      <c r="D113" s="13" t="s">
        <v>505</v>
      </c>
      <c r="E113" s="13"/>
      <c r="F113" s="13"/>
      <c r="G113" s="13" t="s">
        <v>52</v>
      </c>
      <c r="H113" s="13" t="s">
        <v>53</v>
      </c>
      <c r="I113" s="13" t="s">
        <v>575</v>
      </c>
      <c r="J113" s="13" t="s">
        <v>176</v>
      </c>
      <c r="K113" s="21">
        <v>0</v>
      </c>
      <c r="L113" s="14">
        <v>46126</v>
      </c>
      <c r="M113" s="13"/>
      <c r="N113" s="13"/>
    </row>
    <row r="114" spans="1:14" outlineLevel="1" x14ac:dyDescent="0.25">
      <c r="A114" s="15">
        <v>96</v>
      </c>
      <c r="B114" s="15" t="s">
        <v>351</v>
      </c>
      <c r="C114" s="15" t="s">
        <v>352</v>
      </c>
      <c r="D114" s="15" t="s">
        <v>353</v>
      </c>
      <c r="E114" s="15"/>
      <c r="F114" s="15"/>
      <c r="G114" s="15" t="s">
        <v>52</v>
      </c>
      <c r="H114" s="15" t="s">
        <v>53</v>
      </c>
      <c r="I114" s="15" t="s">
        <v>575</v>
      </c>
      <c r="J114" s="15" t="s">
        <v>176</v>
      </c>
      <c r="K114" s="22">
        <v>0</v>
      </c>
      <c r="L114" s="16">
        <v>46122</v>
      </c>
      <c r="M114" s="15"/>
      <c r="N114" s="15"/>
    </row>
    <row r="115" spans="1:14" outlineLevel="1" x14ac:dyDescent="0.25">
      <c r="A115" s="13">
        <v>97</v>
      </c>
      <c r="B115" s="13" t="s">
        <v>509</v>
      </c>
      <c r="C115" s="13" t="s">
        <v>510</v>
      </c>
      <c r="D115" s="13" t="s">
        <v>511</v>
      </c>
      <c r="E115" s="13" t="s">
        <v>626</v>
      </c>
      <c r="F115" s="13" t="s">
        <v>627</v>
      </c>
      <c r="G115" s="13" t="s">
        <v>52</v>
      </c>
      <c r="H115" s="13" t="s">
        <v>53</v>
      </c>
      <c r="I115" s="13" t="s">
        <v>575</v>
      </c>
      <c r="J115" s="13" t="s">
        <v>176</v>
      </c>
      <c r="K115" s="21">
        <v>0</v>
      </c>
      <c r="L115" s="14">
        <v>46126</v>
      </c>
      <c r="M115" s="13"/>
      <c r="N115" s="13"/>
    </row>
    <row r="116" spans="1:14" outlineLevel="1" x14ac:dyDescent="0.25">
      <c r="A116" s="15">
        <v>98</v>
      </c>
      <c r="B116" s="15" t="s">
        <v>298</v>
      </c>
      <c r="C116" s="15" t="s">
        <v>299</v>
      </c>
      <c r="D116" s="15" t="s">
        <v>300</v>
      </c>
      <c r="E116" s="15"/>
      <c r="F116" s="15"/>
      <c r="G116" s="15" t="s">
        <v>294</v>
      </c>
      <c r="H116" s="15" t="s">
        <v>53</v>
      </c>
      <c r="I116" s="15" t="s">
        <v>575</v>
      </c>
      <c r="J116" s="15" t="s">
        <v>176</v>
      </c>
      <c r="K116" s="22">
        <v>0</v>
      </c>
      <c r="L116" s="16">
        <v>46121</v>
      </c>
      <c r="M116" s="15"/>
      <c r="N116" s="15"/>
    </row>
    <row r="117" spans="1:14" outlineLevel="1" x14ac:dyDescent="0.25">
      <c r="A117" s="13">
        <v>99</v>
      </c>
      <c r="B117" s="13" t="s">
        <v>380</v>
      </c>
      <c r="C117" s="13" t="s">
        <v>381</v>
      </c>
      <c r="D117" s="13" t="s">
        <v>382</v>
      </c>
      <c r="E117" s="13"/>
      <c r="F117" s="13"/>
      <c r="G117" s="13" t="s">
        <v>175</v>
      </c>
      <c r="H117" s="13" t="s">
        <v>53</v>
      </c>
      <c r="I117" s="13" t="s">
        <v>575</v>
      </c>
      <c r="J117" s="13" t="s">
        <v>176</v>
      </c>
      <c r="K117" s="21">
        <v>0</v>
      </c>
      <c r="L117" s="14">
        <v>46123</v>
      </c>
      <c r="M117" s="13"/>
      <c r="N117" s="13" t="s">
        <v>744</v>
      </c>
    </row>
    <row r="118" spans="1:14" outlineLevel="1" x14ac:dyDescent="0.25">
      <c r="A118" s="15">
        <v>100</v>
      </c>
      <c r="B118" s="15" t="s">
        <v>318</v>
      </c>
      <c r="C118" s="15" t="s">
        <v>156</v>
      </c>
      <c r="D118" s="15" t="s">
        <v>319</v>
      </c>
      <c r="E118" s="15" t="s">
        <v>42</v>
      </c>
      <c r="F118" s="15" t="s">
        <v>574</v>
      </c>
      <c r="G118" s="15" t="s">
        <v>52</v>
      </c>
      <c r="H118" s="15" t="s">
        <v>53</v>
      </c>
      <c r="I118" s="15" t="s">
        <v>575</v>
      </c>
      <c r="J118" s="15" t="s">
        <v>176</v>
      </c>
      <c r="K118" s="22">
        <v>0</v>
      </c>
      <c r="L118" s="16">
        <v>46122</v>
      </c>
      <c r="M118" s="15"/>
      <c r="N118" s="15"/>
    </row>
    <row r="119" spans="1:14" outlineLevel="1" x14ac:dyDescent="0.25">
      <c r="A119" s="13">
        <v>101</v>
      </c>
      <c r="B119" s="13" t="s">
        <v>457</v>
      </c>
      <c r="C119" s="13" t="s">
        <v>458</v>
      </c>
      <c r="D119" s="13" t="s">
        <v>459</v>
      </c>
      <c r="E119" s="13" t="s">
        <v>42</v>
      </c>
      <c r="F119" s="13" t="s">
        <v>574</v>
      </c>
      <c r="G119" s="13" t="s">
        <v>52</v>
      </c>
      <c r="H119" s="13" t="s">
        <v>53</v>
      </c>
      <c r="I119" s="13" t="s">
        <v>575</v>
      </c>
      <c r="J119" s="13" t="s">
        <v>176</v>
      </c>
      <c r="K119" s="21">
        <v>0</v>
      </c>
      <c r="L119" s="14">
        <v>46126</v>
      </c>
      <c r="M119" s="13"/>
      <c r="N119" s="13"/>
    </row>
    <row r="120" spans="1:14" outlineLevel="1" x14ac:dyDescent="0.25">
      <c r="A120" s="15">
        <v>102</v>
      </c>
      <c r="B120" s="15" t="s">
        <v>770</v>
      </c>
      <c r="C120" s="15" t="s">
        <v>771</v>
      </c>
      <c r="D120" s="15" t="s">
        <v>772</v>
      </c>
      <c r="E120" s="15"/>
      <c r="F120" s="15"/>
      <c r="G120" s="15" t="s">
        <v>52</v>
      </c>
      <c r="H120" s="15" t="s">
        <v>53</v>
      </c>
      <c r="I120" s="15" t="s">
        <v>575</v>
      </c>
      <c r="J120" s="15" t="s">
        <v>176</v>
      </c>
      <c r="K120" s="22">
        <v>0</v>
      </c>
      <c r="L120" s="16">
        <v>46128</v>
      </c>
      <c r="M120" s="15"/>
      <c r="N120" s="15"/>
    </row>
    <row r="121" spans="1:14" ht="18.75" x14ac:dyDescent="0.3">
      <c r="A121" s="30" t="s">
        <v>637</v>
      </c>
      <c r="B121" s="31"/>
      <c r="C121" s="31"/>
      <c r="D121" s="31"/>
    </row>
    <row r="123" spans="1:14" ht="15.75" x14ac:dyDescent="0.25">
      <c r="A123" s="32" t="s">
        <v>638</v>
      </c>
    </row>
    <row r="124" spans="1:14" x14ac:dyDescent="0.25">
      <c r="A124" t="s">
        <v>669</v>
      </c>
      <c r="B124">
        <v>7</v>
      </c>
    </row>
    <row r="125" spans="1:14" x14ac:dyDescent="0.25">
      <c r="A125" t="s">
        <v>596</v>
      </c>
      <c r="B125">
        <v>2</v>
      </c>
    </row>
    <row r="126" spans="1:14" x14ac:dyDescent="0.25">
      <c r="A126" t="s">
        <v>670</v>
      </c>
      <c r="B126">
        <v>3</v>
      </c>
    </row>
    <row r="127" spans="1:14" x14ac:dyDescent="0.25">
      <c r="A127" t="s">
        <v>671</v>
      </c>
      <c r="B127">
        <v>39</v>
      </c>
    </row>
    <row r="128" spans="1:14" x14ac:dyDescent="0.25">
      <c r="A128" t="s">
        <v>672</v>
      </c>
      <c r="B128">
        <v>51</v>
      </c>
    </row>
    <row r="129" spans="1:3" x14ac:dyDescent="0.25">
      <c r="A129" s="4" t="s">
        <v>673</v>
      </c>
      <c r="B129" s="4">
        <v>102</v>
      </c>
      <c r="C129" s="4"/>
    </row>
    <row r="131" spans="1:3" ht="15.75" x14ac:dyDescent="0.25">
      <c r="A131" s="32" t="s">
        <v>674</v>
      </c>
    </row>
    <row r="132" spans="1:3" x14ac:dyDescent="0.25">
      <c r="A132" t="s">
        <v>675</v>
      </c>
      <c r="B132" s="25">
        <v>2625</v>
      </c>
    </row>
    <row r="133" spans="1:3" x14ac:dyDescent="0.25">
      <c r="A133" t="s">
        <v>676</v>
      </c>
      <c r="B133" s="25">
        <v>67.31</v>
      </c>
    </row>
    <row r="134" spans="1:3" x14ac:dyDescent="0.25">
      <c r="A134" t="s">
        <v>677</v>
      </c>
      <c r="B134">
        <v>63</v>
      </c>
    </row>
    <row r="136" spans="1:3" ht="15.75" x14ac:dyDescent="0.25">
      <c r="A136" s="32" t="s">
        <v>678</v>
      </c>
    </row>
    <row r="137" spans="1:3" x14ac:dyDescent="0.25">
      <c r="A137" t="s">
        <v>574</v>
      </c>
      <c r="B137">
        <v>41</v>
      </c>
    </row>
    <row r="138" spans="1:3" x14ac:dyDescent="0.25">
      <c r="A138" t="s">
        <v>604</v>
      </c>
      <c r="B138">
        <f>COUNTIF(F7:F116,"Chemical Manufacturing")</f>
        <v>3</v>
      </c>
    </row>
    <row r="139" spans="1:3" x14ac:dyDescent="0.25">
      <c r="A139" t="s">
        <v>679</v>
      </c>
      <c r="B139">
        <v>8</v>
      </c>
    </row>
    <row r="140" spans="1:3" x14ac:dyDescent="0.25">
      <c r="A140" t="s">
        <v>589</v>
      </c>
      <c r="B140">
        <f>COUNTIF(F7:F116,"Industrial Automation / OT")</f>
        <v>2</v>
      </c>
    </row>
    <row r="141" spans="1:3" x14ac:dyDescent="0.25">
      <c r="A141" t="s">
        <v>680</v>
      </c>
      <c r="B141">
        <f>COUNTIF(F7:F116,"Building Automation / Smart Buildings")</f>
        <v>2</v>
      </c>
    </row>
    <row r="142" spans="1:3" x14ac:dyDescent="0.25">
      <c r="A142" t="s">
        <v>622</v>
      </c>
      <c r="B142">
        <f>COUNTIF(F7:F116,"Federal Law Enforcement")</f>
        <v>3</v>
      </c>
    </row>
    <row r="143" spans="1:3" x14ac:dyDescent="0.25">
      <c r="A143" t="s">
        <v>681</v>
      </c>
      <c r="B143">
        <v>17</v>
      </c>
    </row>
    <row r="144" spans="1:3" x14ac:dyDescent="0.25">
      <c r="A144" t="s">
        <v>640</v>
      </c>
      <c r="B144">
        <v>21</v>
      </c>
    </row>
    <row r="146" spans="1:2" ht="15.75" x14ac:dyDescent="0.25">
      <c r="A146" s="32" t="s">
        <v>641</v>
      </c>
    </row>
    <row r="147" spans="1:2" x14ac:dyDescent="0.25">
      <c r="A147" t="s">
        <v>642</v>
      </c>
      <c r="B147">
        <v>87</v>
      </c>
    </row>
    <row r="148" spans="1:2" x14ac:dyDescent="0.25">
      <c r="A148" t="s">
        <v>643</v>
      </c>
      <c r="B148">
        <v>10</v>
      </c>
    </row>
    <row r="149" spans="1:2" x14ac:dyDescent="0.25">
      <c r="A149" t="s">
        <v>682</v>
      </c>
      <c r="B149">
        <v>7</v>
      </c>
    </row>
    <row r="151" spans="1:2" ht="15.75" x14ac:dyDescent="0.25">
      <c r="A151" s="32" t="s">
        <v>644</v>
      </c>
      <c r="B151">
        <v>7</v>
      </c>
    </row>
    <row r="152" spans="1:2" x14ac:dyDescent="0.25">
      <c r="A152" t="s">
        <v>683</v>
      </c>
      <c r="B152">
        <v>1</v>
      </c>
    </row>
    <row r="153" spans="1:2" x14ac:dyDescent="0.25">
      <c r="A153" t="s">
        <v>797</v>
      </c>
      <c r="B153">
        <v>13</v>
      </c>
    </row>
    <row r="154" spans="1:2" x14ac:dyDescent="0.25">
      <c r="A154" t="s">
        <v>684</v>
      </c>
      <c r="B154">
        <v>8</v>
      </c>
    </row>
    <row r="155" spans="1:2" x14ac:dyDescent="0.25">
      <c r="A155" t="s">
        <v>685</v>
      </c>
      <c r="B155">
        <v>7</v>
      </c>
    </row>
    <row r="157" spans="1:2" x14ac:dyDescent="0.25">
      <c r="A157" s="4" t="s">
        <v>722</v>
      </c>
    </row>
    <row r="158" spans="1:2" x14ac:dyDescent="0.25">
      <c r="A158" s="38" t="s">
        <v>723</v>
      </c>
      <c r="B158" t="s">
        <v>724</v>
      </c>
    </row>
    <row r="159" spans="1:2" x14ac:dyDescent="0.25">
      <c r="A159" s="20" t="s">
        <v>725</v>
      </c>
      <c r="B159" t="s">
        <v>726</v>
      </c>
    </row>
    <row r="160" spans="1:2" x14ac:dyDescent="0.25">
      <c r="A160" s="5" t="s">
        <v>727</v>
      </c>
      <c r="B160" t="s">
        <v>728</v>
      </c>
    </row>
    <row r="161" spans="1:2" x14ac:dyDescent="0.25">
      <c r="A161" s="15" t="s">
        <v>729</v>
      </c>
      <c r="B161" t="s">
        <v>730</v>
      </c>
    </row>
    <row r="162" spans="1:2" x14ac:dyDescent="0.25">
      <c r="A162" t="s">
        <v>155</v>
      </c>
      <c r="B162" t="s">
        <v>796</v>
      </c>
    </row>
  </sheetData>
  <hyperlinks>
    <hyperlink ref="D32" r:id="rId1" xr:uid="{CBBB6692-938A-4128-85BB-B35303423263}"/>
    <hyperlink ref="D30" r:id="rId2" xr:uid="{E226CEE4-A45B-4F5D-9946-E1D3E954F5CE}"/>
    <hyperlink ref="D92" r:id="rId3" xr:uid="{DFF21959-532F-4E51-A1F0-38B6EC409A41}"/>
    <hyperlink ref="D88" r:id="rId4" xr:uid="{10AE200B-C51F-431F-B19B-E729656EAC88}"/>
    <hyperlink ref="D95" r:id="rId5" xr:uid="{E4F07C2A-514B-467F-B276-D182695AE7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7DD14-7176-440E-BE6C-FDA690EA6B08}">
  <dimension ref="A1:AB111"/>
  <sheetViews>
    <sheetView topLeftCell="A28" workbookViewId="0">
      <selection activeCell="D98" sqref="D98"/>
    </sheetView>
  </sheetViews>
  <sheetFormatPr defaultRowHeight="15" x14ac:dyDescent="0.25"/>
  <sheetData>
    <row r="1" spans="1:28" x14ac:dyDescent="0.25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3" t="s">
        <v>18</v>
      </c>
      <c r="T1" s="33" t="s">
        <v>19</v>
      </c>
      <c r="U1" s="33" t="s">
        <v>20</v>
      </c>
      <c r="V1" s="33" t="s">
        <v>21</v>
      </c>
      <c r="W1" s="33" t="s">
        <v>22</v>
      </c>
      <c r="X1" s="33" t="s">
        <v>23</v>
      </c>
      <c r="Y1" s="33" t="s">
        <v>24</v>
      </c>
      <c r="Z1" s="33" t="s">
        <v>25</v>
      </c>
      <c r="AA1" s="33" t="s">
        <v>26</v>
      </c>
      <c r="AB1" s="33" t="s">
        <v>27</v>
      </c>
    </row>
    <row r="2" spans="1:28" x14ac:dyDescent="0.25">
      <c r="A2" s="33">
        <v>14480359583</v>
      </c>
      <c r="B2" s="34">
        <v>46098.522777777776</v>
      </c>
      <c r="C2" s="33" t="s">
        <v>30</v>
      </c>
      <c r="D2" s="33" t="s">
        <v>31</v>
      </c>
      <c r="E2" s="33" t="s">
        <v>32</v>
      </c>
      <c r="F2" s="33"/>
      <c r="G2" s="33" t="s">
        <v>34</v>
      </c>
      <c r="H2" s="33" t="s">
        <v>35</v>
      </c>
      <c r="I2" s="33" t="s">
        <v>36</v>
      </c>
      <c r="J2" s="33" t="s">
        <v>37</v>
      </c>
      <c r="K2" s="33">
        <v>1985023781566</v>
      </c>
      <c r="L2" s="35">
        <v>46136</v>
      </c>
      <c r="M2" s="36">
        <v>0.4375</v>
      </c>
      <c r="N2" s="33" t="s">
        <v>41</v>
      </c>
      <c r="O2" s="33" t="s">
        <v>42</v>
      </c>
      <c r="P2" s="33">
        <v>1</v>
      </c>
      <c r="Q2" s="33"/>
      <c r="R2" s="33" t="s">
        <v>43</v>
      </c>
      <c r="S2" s="33" t="s">
        <v>44</v>
      </c>
      <c r="T2" s="33">
        <v>25</v>
      </c>
      <c r="U2" s="33" t="s">
        <v>30</v>
      </c>
      <c r="V2" s="33" t="s">
        <v>31</v>
      </c>
      <c r="W2" s="33" t="s">
        <v>32</v>
      </c>
      <c r="X2" s="33"/>
      <c r="Y2" s="33"/>
      <c r="Z2" s="33"/>
      <c r="AA2" s="33">
        <v>1.4480359583226399E+24</v>
      </c>
      <c r="AB2" s="33" t="s">
        <v>46</v>
      </c>
    </row>
    <row r="3" spans="1:28" x14ac:dyDescent="0.25">
      <c r="A3" s="33">
        <v>14482854143</v>
      </c>
      <c r="B3" s="34">
        <v>46098.777488425927</v>
      </c>
      <c r="C3" s="33" t="s">
        <v>49</v>
      </c>
      <c r="D3" s="33" t="s">
        <v>50</v>
      </c>
      <c r="E3" s="33" t="s">
        <v>51</v>
      </c>
      <c r="F3" s="33"/>
      <c r="G3" s="33" t="s">
        <v>52</v>
      </c>
      <c r="H3" s="33" t="s">
        <v>53</v>
      </c>
      <c r="I3" s="33" t="s">
        <v>36</v>
      </c>
      <c r="J3" s="33" t="s">
        <v>37</v>
      </c>
      <c r="K3" s="33">
        <v>1985023781566</v>
      </c>
      <c r="L3" s="35">
        <v>46136</v>
      </c>
      <c r="M3" s="36">
        <v>0.4375</v>
      </c>
      <c r="N3" s="33" t="s">
        <v>41</v>
      </c>
      <c r="O3" s="33" t="s">
        <v>42</v>
      </c>
      <c r="P3" s="33">
        <v>1</v>
      </c>
      <c r="Q3" s="33"/>
      <c r="R3" s="33" t="s">
        <v>54</v>
      </c>
      <c r="S3" s="33" t="s">
        <v>44</v>
      </c>
      <c r="T3" s="33">
        <v>0</v>
      </c>
      <c r="U3" s="33" t="s">
        <v>49</v>
      </c>
      <c r="V3" s="33" t="s">
        <v>50</v>
      </c>
      <c r="W3" s="33" t="s">
        <v>51</v>
      </c>
      <c r="X3" s="33"/>
      <c r="Y3" s="33"/>
      <c r="Z3" s="33"/>
      <c r="AA3" s="33">
        <v>1.4482854143226399E+24</v>
      </c>
      <c r="AB3" s="33" t="s">
        <v>46</v>
      </c>
    </row>
    <row r="4" spans="1:28" x14ac:dyDescent="0.25">
      <c r="A4" s="33">
        <v>14499717083</v>
      </c>
      <c r="B4" s="34">
        <v>46101.038865740738</v>
      </c>
      <c r="C4" s="33" t="s">
        <v>58</v>
      </c>
      <c r="D4" s="33" t="s">
        <v>59</v>
      </c>
      <c r="E4" s="33" t="s">
        <v>60</v>
      </c>
      <c r="F4" s="33"/>
      <c r="G4" s="33" t="s">
        <v>61</v>
      </c>
      <c r="H4" s="33" t="s">
        <v>62</v>
      </c>
      <c r="I4" s="33" t="s">
        <v>36</v>
      </c>
      <c r="J4" s="33" t="s">
        <v>37</v>
      </c>
      <c r="K4" s="33">
        <v>1985023781566</v>
      </c>
      <c r="L4" s="35">
        <v>46136</v>
      </c>
      <c r="M4" s="36">
        <v>0.4375</v>
      </c>
      <c r="N4" s="33" t="s">
        <v>41</v>
      </c>
      <c r="O4" s="33" t="s">
        <v>42</v>
      </c>
      <c r="P4" s="33">
        <v>1</v>
      </c>
      <c r="Q4" s="33"/>
      <c r="R4" s="33" t="s">
        <v>54</v>
      </c>
      <c r="S4" s="33" t="s">
        <v>44</v>
      </c>
      <c r="T4" s="33">
        <v>0</v>
      </c>
      <c r="U4" s="33" t="s">
        <v>58</v>
      </c>
      <c r="V4" s="33" t="s">
        <v>59</v>
      </c>
      <c r="W4" s="33" t="s">
        <v>60</v>
      </c>
      <c r="X4" s="33"/>
      <c r="Y4" s="33"/>
      <c r="Z4" s="33"/>
      <c r="AA4" s="33">
        <v>1.44997170832264E+24</v>
      </c>
      <c r="AB4" s="33" t="s">
        <v>46</v>
      </c>
    </row>
    <row r="5" spans="1:28" x14ac:dyDescent="0.25">
      <c r="A5" s="33">
        <v>14502862353</v>
      </c>
      <c r="B5" s="34">
        <v>46101.493483796294</v>
      </c>
      <c r="C5" s="33" t="s">
        <v>66</v>
      </c>
      <c r="D5" s="33" t="s">
        <v>67</v>
      </c>
      <c r="E5" s="33" t="s">
        <v>68</v>
      </c>
      <c r="F5" s="33"/>
      <c r="G5" s="33" t="s">
        <v>69</v>
      </c>
      <c r="H5" s="33" t="s">
        <v>53</v>
      </c>
      <c r="I5" s="33" t="s">
        <v>36</v>
      </c>
      <c r="J5" s="33" t="s">
        <v>37</v>
      </c>
      <c r="K5" s="33">
        <v>1985023781566</v>
      </c>
      <c r="L5" s="35">
        <v>46136</v>
      </c>
      <c r="M5" s="36">
        <v>0.4375</v>
      </c>
      <c r="N5" s="33" t="s">
        <v>41</v>
      </c>
      <c r="O5" s="33" t="s">
        <v>42</v>
      </c>
      <c r="P5" s="33">
        <v>1</v>
      </c>
      <c r="Q5" s="33"/>
      <c r="R5" s="33" t="s">
        <v>43</v>
      </c>
      <c r="S5" s="33" t="s">
        <v>44</v>
      </c>
      <c r="T5" s="33">
        <v>25</v>
      </c>
      <c r="U5" s="33" t="s">
        <v>66</v>
      </c>
      <c r="V5" s="33" t="s">
        <v>67</v>
      </c>
      <c r="W5" s="33" t="s">
        <v>68</v>
      </c>
      <c r="X5" s="33"/>
      <c r="Y5" s="33"/>
      <c r="Z5" s="33"/>
      <c r="AA5" s="33">
        <v>1.4502862353226399E+24</v>
      </c>
      <c r="AB5" s="33" t="s">
        <v>46</v>
      </c>
    </row>
    <row r="6" spans="1:28" x14ac:dyDescent="0.25">
      <c r="A6" s="33">
        <v>14502862353</v>
      </c>
      <c r="B6" s="34">
        <v>46101.493483796294</v>
      </c>
      <c r="C6" s="33" t="s">
        <v>734</v>
      </c>
      <c r="D6" s="33" t="s">
        <v>735</v>
      </c>
      <c r="E6" s="33" t="s">
        <v>738</v>
      </c>
      <c r="F6" s="33"/>
      <c r="G6" s="33" t="s">
        <v>69</v>
      </c>
      <c r="H6" s="33" t="s">
        <v>53</v>
      </c>
      <c r="I6" s="33" t="s">
        <v>36</v>
      </c>
      <c r="J6" s="33" t="s">
        <v>37</v>
      </c>
      <c r="K6" s="33">
        <v>1985023781566</v>
      </c>
      <c r="L6" s="35">
        <v>46136</v>
      </c>
      <c r="M6" s="36">
        <v>0.4375</v>
      </c>
      <c r="N6" s="33" t="s">
        <v>41</v>
      </c>
      <c r="O6" s="33" t="s">
        <v>42</v>
      </c>
      <c r="P6" s="33">
        <v>1</v>
      </c>
      <c r="Q6" s="33"/>
      <c r="R6" s="33" t="s">
        <v>43</v>
      </c>
      <c r="S6" s="33" t="s">
        <v>44</v>
      </c>
      <c r="T6" s="33">
        <v>25</v>
      </c>
      <c r="U6" s="33" t="s">
        <v>66</v>
      </c>
      <c r="V6" s="33" t="s">
        <v>67</v>
      </c>
      <c r="W6" s="33" t="s">
        <v>68</v>
      </c>
      <c r="X6" s="33"/>
      <c r="Y6" s="33"/>
      <c r="Z6" s="33"/>
      <c r="AA6" s="33">
        <v>1.4502862353226399E+24</v>
      </c>
      <c r="AB6" s="33" t="s">
        <v>46</v>
      </c>
    </row>
    <row r="7" spans="1:28" x14ac:dyDescent="0.25">
      <c r="A7" s="33">
        <v>14502862353</v>
      </c>
      <c r="B7" s="34">
        <v>46101.493483796294</v>
      </c>
      <c r="C7" s="33" t="s">
        <v>131</v>
      </c>
      <c r="D7" s="33" t="s">
        <v>736</v>
      </c>
      <c r="E7" s="33" t="s">
        <v>737</v>
      </c>
      <c r="F7" s="33"/>
      <c r="G7" s="33" t="s">
        <v>69</v>
      </c>
      <c r="H7" s="33" t="s">
        <v>53</v>
      </c>
      <c r="I7" s="33" t="s">
        <v>36</v>
      </c>
      <c r="J7" s="33" t="s">
        <v>37</v>
      </c>
      <c r="K7" s="33">
        <v>1985023781566</v>
      </c>
      <c r="L7" s="35">
        <v>46136</v>
      </c>
      <c r="M7" s="36">
        <v>0.4375</v>
      </c>
      <c r="N7" s="33" t="s">
        <v>41</v>
      </c>
      <c r="O7" s="33" t="s">
        <v>42</v>
      </c>
      <c r="P7" s="33">
        <v>1</v>
      </c>
      <c r="Q7" s="33"/>
      <c r="R7" s="33" t="s">
        <v>43</v>
      </c>
      <c r="S7" s="33" t="s">
        <v>44</v>
      </c>
      <c r="T7" s="33">
        <v>25</v>
      </c>
      <c r="U7" s="33" t="s">
        <v>66</v>
      </c>
      <c r="V7" s="33" t="s">
        <v>67</v>
      </c>
      <c r="W7" s="33" t="s">
        <v>68</v>
      </c>
      <c r="X7" s="33"/>
      <c r="Y7" s="33"/>
      <c r="Z7" s="33"/>
      <c r="AA7" s="33">
        <v>1.4502862353226399E+24</v>
      </c>
      <c r="AB7" s="33" t="s">
        <v>46</v>
      </c>
    </row>
    <row r="8" spans="1:28" x14ac:dyDescent="0.25">
      <c r="A8" s="33">
        <v>14519918903</v>
      </c>
      <c r="B8" s="34">
        <v>46104.337916666664</v>
      </c>
      <c r="C8" s="33" t="s">
        <v>75</v>
      </c>
      <c r="D8" s="33" t="s">
        <v>76</v>
      </c>
      <c r="E8" s="33" t="s">
        <v>77</v>
      </c>
      <c r="F8" s="33"/>
      <c r="G8" s="33" t="s">
        <v>52</v>
      </c>
      <c r="H8" s="33" t="s">
        <v>53</v>
      </c>
      <c r="I8" s="33" t="s">
        <v>36</v>
      </c>
      <c r="J8" s="33" t="s">
        <v>37</v>
      </c>
      <c r="K8" s="33">
        <v>1985023781566</v>
      </c>
      <c r="L8" s="35">
        <v>46136</v>
      </c>
      <c r="M8" s="36">
        <v>0.4375</v>
      </c>
      <c r="N8" s="33" t="s">
        <v>41</v>
      </c>
      <c r="O8" s="33" t="s">
        <v>42</v>
      </c>
      <c r="P8" s="33">
        <v>1</v>
      </c>
      <c r="Q8" s="33"/>
      <c r="R8" s="33" t="s">
        <v>43</v>
      </c>
      <c r="S8" s="33" t="s">
        <v>44</v>
      </c>
      <c r="T8" s="33">
        <v>25</v>
      </c>
      <c r="U8" s="33" t="s">
        <v>75</v>
      </c>
      <c r="V8" s="33" t="s">
        <v>76</v>
      </c>
      <c r="W8" s="33" t="s">
        <v>77</v>
      </c>
      <c r="X8" s="33"/>
      <c r="Y8" s="33"/>
      <c r="Z8" s="33"/>
      <c r="AA8" s="33">
        <v>1.4519918903226501E+24</v>
      </c>
      <c r="AB8" s="33" t="s">
        <v>46</v>
      </c>
    </row>
    <row r="9" spans="1:28" x14ac:dyDescent="0.25">
      <c r="A9" s="33">
        <v>14520824213</v>
      </c>
      <c r="B9" s="34">
        <v>46104.434803240743</v>
      </c>
      <c r="C9" s="33" t="s">
        <v>81</v>
      </c>
      <c r="D9" s="33" t="s">
        <v>82</v>
      </c>
      <c r="E9" s="33" t="s">
        <v>83</v>
      </c>
      <c r="F9" s="33"/>
      <c r="G9" s="33" t="s">
        <v>84</v>
      </c>
      <c r="H9" s="33" t="s">
        <v>53</v>
      </c>
      <c r="I9" s="33" t="s">
        <v>36</v>
      </c>
      <c r="J9" s="33" t="s">
        <v>37</v>
      </c>
      <c r="K9" s="33">
        <v>1985023781566</v>
      </c>
      <c r="L9" s="35">
        <v>46136</v>
      </c>
      <c r="M9" s="36">
        <v>0.4375</v>
      </c>
      <c r="N9" s="33" t="s">
        <v>41</v>
      </c>
      <c r="O9" s="33" t="s">
        <v>42</v>
      </c>
      <c r="P9" s="33">
        <v>1</v>
      </c>
      <c r="Q9" s="33"/>
      <c r="R9" s="33" t="s">
        <v>43</v>
      </c>
      <c r="S9" s="33" t="s">
        <v>44</v>
      </c>
      <c r="T9" s="33">
        <v>25</v>
      </c>
      <c r="U9" s="33" t="s">
        <v>81</v>
      </c>
      <c r="V9" s="33" t="s">
        <v>82</v>
      </c>
      <c r="W9" s="33" t="s">
        <v>83</v>
      </c>
      <c r="X9" s="33"/>
      <c r="Y9" s="33"/>
      <c r="Z9" s="33"/>
      <c r="AA9" s="33">
        <v>1.4520824213226501E+24</v>
      </c>
      <c r="AB9" s="33" t="s">
        <v>46</v>
      </c>
    </row>
    <row r="10" spans="1:28" x14ac:dyDescent="0.25">
      <c r="A10" s="33">
        <v>14533132763</v>
      </c>
      <c r="B10" s="34">
        <v>46105.998460648145</v>
      </c>
      <c r="C10" s="33" t="s">
        <v>88</v>
      </c>
      <c r="D10" s="33" t="s">
        <v>89</v>
      </c>
      <c r="E10" s="33" t="s">
        <v>90</v>
      </c>
      <c r="F10" s="33"/>
      <c r="G10" s="33" t="s">
        <v>52</v>
      </c>
      <c r="H10" s="33" t="s">
        <v>53</v>
      </c>
      <c r="I10" s="33" t="s">
        <v>36</v>
      </c>
      <c r="J10" s="33" t="s">
        <v>37</v>
      </c>
      <c r="K10" s="33">
        <v>1985023781566</v>
      </c>
      <c r="L10" s="35">
        <v>46136</v>
      </c>
      <c r="M10" s="36">
        <v>0.4375</v>
      </c>
      <c r="N10" s="33" t="s">
        <v>41</v>
      </c>
      <c r="O10" s="33" t="s">
        <v>42</v>
      </c>
      <c r="P10" s="33">
        <v>1</v>
      </c>
      <c r="Q10" s="33"/>
      <c r="R10" s="33" t="s">
        <v>54</v>
      </c>
      <c r="S10" s="33" t="s">
        <v>44</v>
      </c>
      <c r="T10" s="33">
        <v>0</v>
      </c>
      <c r="U10" s="33" t="s">
        <v>88</v>
      </c>
      <c r="V10" s="33" t="s">
        <v>89</v>
      </c>
      <c r="W10" s="33" t="s">
        <v>90</v>
      </c>
      <c r="X10" s="33"/>
      <c r="Y10" s="33"/>
      <c r="Z10" s="33"/>
      <c r="AA10" s="33">
        <v>1.45331327632265E+24</v>
      </c>
      <c r="AB10" s="33" t="s">
        <v>46</v>
      </c>
    </row>
    <row r="11" spans="1:28" x14ac:dyDescent="0.25">
      <c r="A11" s="33">
        <v>14533148673</v>
      </c>
      <c r="B11" s="34">
        <v>46106.002395833333</v>
      </c>
      <c r="C11" s="33" t="s">
        <v>94</v>
      </c>
      <c r="D11" s="33" t="s">
        <v>702</v>
      </c>
      <c r="E11" s="33" t="s">
        <v>95</v>
      </c>
      <c r="F11" s="33"/>
      <c r="G11" s="33" t="s">
        <v>52</v>
      </c>
      <c r="H11" s="33" t="s">
        <v>53</v>
      </c>
      <c r="I11" s="33" t="s">
        <v>36</v>
      </c>
      <c r="J11" s="33" t="s">
        <v>37</v>
      </c>
      <c r="K11" s="33">
        <v>1985023781566</v>
      </c>
      <c r="L11" s="35">
        <v>46136</v>
      </c>
      <c r="M11" s="36">
        <v>0.4375</v>
      </c>
      <c r="N11" s="33" t="s">
        <v>41</v>
      </c>
      <c r="O11" s="33" t="s">
        <v>42</v>
      </c>
      <c r="P11" s="33">
        <v>1</v>
      </c>
      <c r="Q11" s="33"/>
      <c r="R11" s="33" t="s">
        <v>54</v>
      </c>
      <c r="S11" s="33" t="s">
        <v>44</v>
      </c>
      <c r="T11" s="33">
        <v>0</v>
      </c>
      <c r="U11" s="33" t="s">
        <v>94</v>
      </c>
      <c r="V11" s="33" t="s">
        <v>96</v>
      </c>
      <c r="W11" s="33" t="s">
        <v>95</v>
      </c>
      <c r="X11" s="33"/>
      <c r="Y11" s="33"/>
      <c r="Z11" s="33"/>
      <c r="AA11" s="33">
        <v>1.45331486732265E+24</v>
      </c>
      <c r="AB11" s="33" t="s">
        <v>46</v>
      </c>
    </row>
    <row r="12" spans="1:28" x14ac:dyDescent="0.25">
      <c r="A12" s="33">
        <v>14543856393</v>
      </c>
      <c r="B12" s="34">
        <v>46107.471435185187</v>
      </c>
      <c r="C12" s="33" t="s">
        <v>100</v>
      </c>
      <c r="D12" s="33" t="s">
        <v>101</v>
      </c>
      <c r="E12" s="33" t="s">
        <v>102</v>
      </c>
      <c r="F12" s="33"/>
      <c r="G12" s="33" t="s">
        <v>52</v>
      </c>
      <c r="H12" s="33" t="s">
        <v>53</v>
      </c>
      <c r="I12" s="33" t="s">
        <v>36</v>
      </c>
      <c r="J12" s="33" t="s">
        <v>37</v>
      </c>
      <c r="K12" s="33">
        <v>1985023781566</v>
      </c>
      <c r="L12" s="35">
        <v>46136</v>
      </c>
      <c r="M12" s="36">
        <v>0.4375</v>
      </c>
      <c r="N12" s="33" t="s">
        <v>41</v>
      </c>
      <c r="O12" s="33" t="s">
        <v>42</v>
      </c>
      <c r="P12" s="33">
        <v>1</v>
      </c>
      <c r="Q12" s="33"/>
      <c r="R12" s="33" t="s">
        <v>54</v>
      </c>
      <c r="S12" s="33" t="s">
        <v>44</v>
      </c>
      <c r="T12" s="33">
        <v>0</v>
      </c>
      <c r="U12" s="33" t="s">
        <v>100</v>
      </c>
      <c r="V12" s="33" t="s">
        <v>101</v>
      </c>
      <c r="W12" s="33" t="s">
        <v>102</v>
      </c>
      <c r="X12" s="33"/>
      <c r="Y12" s="33"/>
      <c r="Z12" s="33"/>
      <c r="AA12" s="33">
        <v>1.4543856393226501E+24</v>
      </c>
      <c r="AB12" s="33" t="s">
        <v>46</v>
      </c>
    </row>
    <row r="13" spans="1:28" x14ac:dyDescent="0.25">
      <c r="A13" s="33">
        <v>14552403623</v>
      </c>
      <c r="B13" s="34">
        <v>46108.550034722219</v>
      </c>
      <c r="C13" s="33" t="s">
        <v>106</v>
      </c>
      <c r="D13" s="33" t="s">
        <v>107</v>
      </c>
      <c r="E13" s="33" t="s">
        <v>108</v>
      </c>
      <c r="F13" s="33"/>
      <c r="G13" s="33" t="s">
        <v>109</v>
      </c>
      <c r="H13" s="33" t="s">
        <v>53</v>
      </c>
      <c r="I13" s="33" t="s">
        <v>36</v>
      </c>
      <c r="J13" s="33" t="s">
        <v>37</v>
      </c>
      <c r="K13" s="33">
        <v>1985023781566</v>
      </c>
      <c r="L13" s="35">
        <v>46136</v>
      </c>
      <c r="M13" s="36">
        <v>0.4375</v>
      </c>
      <c r="N13" s="33" t="s">
        <v>41</v>
      </c>
      <c r="O13" s="33" t="s">
        <v>42</v>
      </c>
      <c r="P13" s="33">
        <v>1</v>
      </c>
      <c r="Q13" s="33"/>
      <c r="R13" s="33" t="s">
        <v>43</v>
      </c>
      <c r="S13" s="33" t="s">
        <v>44</v>
      </c>
      <c r="T13" s="33">
        <v>0</v>
      </c>
      <c r="U13" s="33" t="s">
        <v>106</v>
      </c>
      <c r="V13" s="33" t="s">
        <v>107</v>
      </c>
      <c r="W13" s="33" t="s">
        <v>108</v>
      </c>
      <c r="X13" s="33"/>
      <c r="Y13" s="33"/>
      <c r="Z13" s="33"/>
      <c r="AA13" s="33">
        <v>1.4552403623226501E+24</v>
      </c>
      <c r="AB13" s="33" t="s">
        <v>46</v>
      </c>
    </row>
    <row r="14" spans="1:28" x14ac:dyDescent="0.25">
      <c r="A14" s="33">
        <v>14572773463</v>
      </c>
      <c r="B14" s="34">
        <v>46111.769918981481</v>
      </c>
      <c r="C14" s="33" t="s">
        <v>113</v>
      </c>
      <c r="D14" s="33" t="s">
        <v>114</v>
      </c>
      <c r="E14" s="33" t="s">
        <v>115</v>
      </c>
      <c r="F14" s="33"/>
      <c r="G14" s="33"/>
      <c r="H14" s="33" t="s">
        <v>116</v>
      </c>
      <c r="I14" s="33" t="s">
        <v>36</v>
      </c>
      <c r="J14" s="33" t="s">
        <v>37</v>
      </c>
      <c r="K14" s="33">
        <v>1985023781566</v>
      </c>
      <c r="L14" s="35">
        <v>46136</v>
      </c>
      <c r="M14" s="36">
        <v>0.4375</v>
      </c>
      <c r="N14" s="33" t="s">
        <v>41</v>
      </c>
      <c r="O14" s="33" t="s">
        <v>42</v>
      </c>
      <c r="P14" s="33">
        <v>1</v>
      </c>
      <c r="Q14" s="33"/>
      <c r="R14" s="33" t="s">
        <v>43</v>
      </c>
      <c r="S14" s="33" t="s">
        <v>44</v>
      </c>
      <c r="T14" s="33">
        <v>0</v>
      </c>
      <c r="U14" s="33" t="s">
        <v>113</v>
      </c>
      <c r="V14" s="33" t="s">
        <v>114</v>
      </c>
      <c r="W14" s="33" t="s">
        <v>115</v>
      </c>
      <c r="X14" s="33"/>
      <c r="Y14" s="33"/>
      <c r="Z14" s="33"/>
      <c r="AA14" s="33">
        <v>1.45727734632265E+24</v>
      </c>
      <c r="AB14" s="33" t="s">
        <v>46</v>
      </c>
    </row>
    <row r="15" spans="1:28" x14ac:dyDescent="0.25">
      <c r="A15" s="33">
        <v>14577741553</v>
      </c>
      <c r="B15" s="34">
        <v>46112.541875000003</v>
      </c>
      <c r="C15" s="33" t="s">
        <v>120</v>
      </c>
      <c r="D15" s="33" t="s">
        <v>121</v>
      </c>
      <c r="E15" s="33" t="s">
        <v>122</v>
      </c>
      <c r="F15" s="33"/>
      <c r="G15" s="33" t="s">
        <v>123</v>
      </c>
      <c r="H15" s="33" t="s">
        <v>116</v>
      </c>
      <c r="I15" s="33" t="s">
        <v>36</v>
      </c>
      <c r="J15" s="33" t="s">
        <v>37</v>
      </c>
      <c r="K15" s="33">
        <v>1985023781566</v>
      </c>
      <c r="L15" s="35">
        <v>46136</v>
      </c>
      <c r="M15" s="36">
        <v>0.4375</v>
      </c>
      <c r="N15" s="33" t="s">
        <v>41</v>
      </c>
      <c r="O15" s="33" t="s">
        <v>42</v>
      </c>
      <c r="P15" s="33">
        <v>1</v>
      </c>
      <c r="Q15" s="33"/>
      <c r="R15" s="33" t="s">
        <v>43</v>
      </c>
      <c r="S15" s="33" t="s">
        <v>44</v>
      </c>
      <c r="T15" s="33">
        <v>0</v>
      </c>
      <c r="U15" s="33" t="s">
        <v>120</v>
      </c>
      <c r="V15" s="33" t="s">
        <v>121</v>
      </c>
      <c r="W15" s="33" t="s">
        <v>122</v>
      </c>
      <c r="X15" s="33"/>
      <c r="Y15" s="33"/>
      <c r="Z15" s="33"/>
      <c r="AA15" s="33">
        <v>1.4577741553226499E+24</v>
      </c>
      <c r="AB15" s="33" t="s">
        <v>46</v>
      </c>
    </row>
    <row r="16" spans="1:28" x14ac:dyDescent="0.25">
      <c r="A16" s="33">
        <v>14578579883</v>
      </c>
      <c r="B16" s="34">
        <v>46112.624189814815</v>
      </c>
      <c r="C16" s="33" t="s">
        <v>127</v>
      </c>
      <c r="D16" s="33" t="s">
        <v>128</v>
      </c>
      <c r="E16" s="33" t="s">
        <v>129</v>
      </c>
      <c r="F16" s="33"/>
      <c r="G16" s="33" t="s">
        <v>130</v>
      </c>
      <c r="H16" s="33" t="s">
        <v>35</v>
      </c>
      <c r="I16" s="33" t="s">
        <v>36</v>
      </c>
      <c r="J16" s="33" t="s">
        <v>37</v>
      </c>
      <c r="K16" s="33">
        <v>1985023781566</v>
      </c>
      <c r="L16" s="35">
        <v>46136</v>
      </c>
      <c r="M16" s="36">
        <v>0.4375</v>
      </c>
      <c r="N16" s="33" t="s">
        <v>41</v>
      </c>
      <c r="O16" s="33" t="s">
        <v>42</v>
      </c>
      <c r="P16" s="33">
        <v>1</v>
      </c>
      <c r="Q16" s="33"/>
      <c r="R16" s="33" t="s">
        <v>43</v>
      </c>
      <c r="S16" s="33" t="s">
        <v>44</v>
      </c>
      <c r="T16" s="33">
        <v>25</v>
      </c>
      <c r="U16" s="33" t="s">
        <v>131</v>
      </c>
      <c r="V16" s="33" t="s">
        <v>132</v>
      </c>
      <c r="W16" s="33" t="s">
        <v>133</v>
      </c>
      <c r="X16" s="33"/>
      <c r="Y16" s="33"/>
      <c r="Z16" s="33"/>
      <c r="AA16" s="33">
        <v>1.4578579883226499E+24</v>
      </c>
      <c r="AB16" s="33" t="s">
        <v>46</v>
      </c>
    </row>
    <row r="17" spans="1:28" x14ac:dyDescent="0.25">
      <c r="A17" s="33">
        <v>14578579883</v>
      </c>
      <c r="B17" s="34">
        <v>46112.624189814815</v>
      </c>
      <c r="C17" s="33" t="s">
        <v>131</v>
      </c>
      <c r="D17" s="33" t="s">
        <v>132</v>
      </c>
      <c r="E17" s="33" t="s">
        <v>133</v>
      </c>
      <c r="F17" s="33"/>
      <c r="G17" s="33" t="s">
        <v>130</v>
      </c>
      <c r="H17" s="33" t="s">
        <v>35</v>
      </c>
      <c r="I17" s="33" t="s">
        <v>36</v>
      </c>
      <c r="J17" s="33" t="s">
        <v>37</v>
      </c>
      <c r="K17" s="33">
        <v>1985023781566</v>
      </c>
      <c r="L17" s="35">
        <v>46136</v>
      </c>
      <c r="M17" s="36">
        <v>0.4375</v>
      </c>
      <c r="N17" s="33" t="s">
        <v>41</v>
      </c>
      <c r="O17" s="33" t="s">
        <v>42</v>
      </c>
      <c r="P17" s="33">
        <v>1</v>
      </c>
      <c r="Q17" s="33"/>
      <c r="R17" s="33" t="s">
        <v>43</v>
      </c>
      <c r="S17" s="33" t="s">
        <v>44</v>
      </c>
      <c r="T17" s="33">
        <v>25</v>
      </c>
      <c r="U17" s="33" t="s">
        <v>131</v>
      </c>
      <c r="V17" s="33" t="s">
        <v>132</v>
      </c>
      <c r="W17" s="33" t="s">
        <v>133</v>
      </c>
      <c r="X17" s="33"/>
      <c r="Y17" s="33"/>
      <c r="Z17" s="33"/>
      <c r="AA17" s="33">
        <v>1.4578579883226499E+24</v>
      </c>
      <c r="AB17" s="33" t="s">
        <v>46</v>
      </c>
    </row>
    <row r="18" spans="1:28" x14ac:dyDescent="0.25">
      <c r="A18" s="33">
        <v>14578860033</v>
      </c>
      <c r="B18" s="34">
        <v>46112.652407407404</v>
      </c>
      <c r="C18" s="33" t="s">
        <v>732</v>
      </c>
      <c r="D18" s="33" t="s">
        <v>733</v>
      </c>
      <c r="E18" s="33" t="s">
        <v>140</v>
      </c>
      <c r="F18" s="33"/>
      <c r="G18" s="33" t="s">
        <v>141</v>
      </c>
      <c r="H18" s="33" t="s">
        <v>35</v>
      </c>
      <c r="I18" s="33" t="s">
        <v>36</v>
      </c>
      <c r="J18" s="33" t="s">
        <v>37</v>
      </c>
      <c r="K18" s="33">
        <v>1985023781566</v>
      </c>
      <c r="L18" s="35">
        <v>46136</v>
      </c>
      <c r="M18" s="36">
        <v>0.4375</v>
      </c>
      <c r="N18" s="33" t="s">
        <v>41</v>
      </c>
      <c r="O18" s="33" t="s">
        <v>42</v>
      </c>
      <c r="P18" s="33">
        <v>1</v>
      </c>
      <c r="Q18" s="33"/>
      <c r="R18" s="33" t="s">
        <v>142</v>
      </c>
      <c r="S18" s="33" t="s">
        <v>44</v>
      </c>
      <c r="T18" s="33">
        <v>250</v>
      </c>
      <c r="U18" s="33" t="s">
        <v>143</v>
      </c>
      <c r="V18" s="33" t="s">
        <v>144</v>
      </c>
      <c r="W18" s="33" t="s">
        <v>145</v>
      </c>
      <c r="X18" s="33"/>
      <c r="Y18" s="33"/>
      <c r="Z18" s="33"/>
      <c r="AA18" s="33">
        <v>1.45788600332266E+24</v>
      </c>
      <c r="AB18" s="33" t="s">
        <v>46</v>
      </c>
    </row>
    <row r="19" spans="1:28" x14ac:dyDescent="0.25">
      <c r="A19" s="33">
        <v>14584507883</v>
      </c>
      <c r="B19" s="34">
        <v>46113.465648148151</v>
      </c>
      <c r="C19" s="33" t="s">
        <v>149</v>
      </c>
      <c r="D19" s="33" t="s">
        <v>150</v>
      </c>
      <c r="E19" s="33" t="s">
        <v>151</v>
      </c>
      <c r="F19" s="33"/>
      <c r="G19" s="33" t="s">
        <v>34</v>
      </c>
      <c r="H19" s="33" t="s">
        <v>35</v>
      </c>
      <c r="I19" s="33" t="s">
        <v>36</v>
      </c>
      <c r="J19" s="33" t="s">
        <v>37</v>
      </c>
      <c r="K19" s="33">
        <v>1985023781566</v>
      </c>
      <c r="L19" s="35">
        <v>46136</v>
      </c>
      <c r="M19" s="36">
        <v>0.4375</v>
      </c>
      <c r="N19" s="33" t="s">
        <v>41</v>
      </c>
      <c r="O19" s="33" t="s">
        <v>42</v>
      </c>
      <c r="P19" s="33">
        <v>1</v>
      </c>
      <c r="Q19" s="33"/>
      <c r="R19" s="33" t="s">
        <v>43</v>
      </c>
      <c r="S19" s="33" t="s">
        <v>44</v>
      </c>
      <c r="T19" s="33">
        <v>0</v>
      </c>
      <c r="U19" s="33" t="s">
        <v>149</v>
      </c>
      <c r="V19" s="33" t="s">
        <v>150</v>
      </c>
      <c r="W19" s="33" t="s">
        <v>151</v>
      </c>
      <c r="X19" s="33"/>
      <c r="Y19" s="33"/>
      <c r="Z19" s="33"/>
      <c r="AA19" s="33">
        <v>1.45845078832266E+24</v>
      </c>
      <c r="AB19" s="33" t="s">
        <v>46</v>
      </c>
    </row>
    <row r="20" spans="1:28" x14ac:dyDescent="0.25">
      <c r="A20" s="33">
        <v>14588091613</v>
      </c>
      <c r="B20" s="34">
        <v>46113.806840277779</v>
      </c>
      <c r="C20" s="33" t="s">
        <v>156</v>
      </c>
      <c r="D20" s="33" t="s">
        <v>157</v>
      </c>
      <c r="E20" s="33" t="s">
        <v>155</v>
      </c>
      <c r="F20" s="33"/>
      <c r="G20" s="33" t="s">
        <v>52</v>
      </c>
      <c r="H20" s="33" t="s">
        <v>53</v>
      </c>
      <c r="I20" s="33" t="s">
        <v>36</v>
      </c>
      <c r="J20" s="33" t="s">
        <v>37</v>
      </c>
      <c r="K20" s="33">
        <v>1985023781566</v>
      </c>
      <c r="L20" s="35">
        <v>46136</v>
      </c>
      <c r="M20" s="36">
        <v>0.4375</v>
      </c>
      <c r="N20" s="33" t="s">
        <v>41</v>
      </c>
      <c r="O20" s="33" t="s">
        <v>42</v>
      </c>
      <c r="P20" s="33">
        <v>1</v>
      </c>
      <c r="Q20" s="33"/>
      <c r="R20" s="33" t="s">
        <v>54</v>
      </c>
      <c r="S20" s="33" t="s">
        <v>44</v>
      </c>
      <c r="T20" s="33">
        <v>0</v>
      </c>
      <c r="U20" s="33" t="s">
        <v>156</v>
      </c>
      <c r="V20" s="33" t="s">
        <v>157</v>
      </c>
      <c r="W20" s="33" t="s">
        <v>158</v>
      </c>
      <c r="X20" s="33"/>
      <c r="Y20" s="33"/>
      <c r="Z20" s="33"/>
      <c r="AA20" s="33">
        <v>1.4588091613226601E+24</v>
      </c>
      <c r="AB20" s="33" t="s">
        <v>46</v>
      </c>
    </row>
    <row r="21" spans="1:28" x14ac:dyDescent="0.25">
      <c r="A21" s="47">
        <v>14595817213</v>
      </c>
      <c r="B21" s="48">
        <v>46114.821111111109</v>
      </c>
      <c r="C21" s="47" t="s">
        <v>739</v>
      </c>
      <c r="D21" s="47" t="s">
        <v>162</v>
      </c>
      <c r="E21" s="47" t="s">
        <v>163</v>
      </c>
      <c r="F21" s="47"/>
      <c r="G21" s="47" t="s">
        <v>164</v>
      </c>
      <c r="H21" s="47" t="s">
        <v>53</v>
      </c>
      <c r="I21" s="47" t="s">
        <v>36</v>
      </c>
      <c r="J21" s="47" t="s">
        <v>37</v>
      </c>
      <c r="K21" s="47">
        <v>1985023781566</v>
      </c>
      <c r="L21" s="49">
        <v>46136</v>
      </c>
      <c r="M21" s="50">
        <v>0.4375</v>
      </c>
      <c r="N21" s="47" t="s">
        <v>41</v>
      </c>
      <c r="O21" s="47" t="s">
        <v>42</v>
      </c>
      <c r="P21" s="47">
        <v>1</v>
      </c>
      <c r="Q21" s="47"/>
      <c r="R21" s="47" t="s">
        <v>43</v>
      </c>
      <c r="S21" s="47" t="s">
        <v>44</v>
      </c>
      <c r="T21" s="47">
        <v>0</v>
      </c>
      <c r="U21" s="47" t="s">
        <v>703</v>
      </c>
      <c r="V21" s="47" t="s">
        <v>704</v>
      </c>
      <c r="W21" s="47" t="s">
        <v>165</v>
      </c>
      <c r="X21" s="47"/>
      <c r="Y21" s="47"/>
      <c r="Z21" s="47"/>
      <c r="AA21" s="47">
        <v>1.4595817213226599E+24</v>
      </c>
      <c r="AB21" s="47" t="s">
        <v>46</v>
      </c>
    </row>
    <row r="22" spans="1:28" x14ac:dyDescent="0.25">
      <c r="A22" s="47">
        <v>14595817213</v>
      </c>
      <c r="B22" s="48">
        <v>46114.821111111109</v>
      </c>
      <c r="C22" s="47" t="s">
        <v>739</v>
      </c>
      <c r="D22" s="47" t="s">
        <v>162</v>
      </c>
      <c r="E22" s="47" t="s">
        <v>163</v>
      </c>
      <c r="F22" s="47"/>
      <c r="G22" s="47" t="s">
        <v>164</v>
      </c>
      <c r="H22" s="47" t="s">
        <v>53</v>
      </c>
      <c r="I22" s="47" t="s">
        <v>36</v>
      </c>
      <c r="J22" s="47" t="s">
        <v>37</v>
      </c>
      <c r="K22" s="47">
        <v>1985023781566</v>
      </c>
      <c r="L22" s="49">
        <v>46136</v>
      </c>
      <c r="M22" s="50">
        <v>0.4375</v>
      </c>
      <c r="N22" s="47" t="s">
        <v>41</v>
      </c>
      <c r="O22" s="47" t="s">
        <v>42</v>
      </c>
      <c r="P22" s="47">
        <v>1</v>
      </c>
      <c r="Q22" s="47"/>
      <c r="R22" s="47" t="s">
        <v>43</v>
      </c>
      <c r="S22" s="47" t="s">
        <v>44</v>
      </c>
      <c r="T22" s="47">
        <v>0</v>
      </c>
      <c r="U22" s="47" t="s">
        <v>703</v>
      </c>
      <c r="V22" s="47" t="s">
        <v>704</v>
      </c>
      <c r="W22" s="47" t="s">
        <v>165</v>
      </c>
      <c r="X22" s="47"/>
      <c r="Y22" s="47"/>
      <c r="Z22" s="47"/>
      <c r="AA22" s="47">
        <v>1.4595817213226599E+24</v>
      </c>
      <c r="AB22" s="47" t="s">
        <v>46</v>
      </c>
    </row>
    <row r="23" spans="1:28" x14ac:dyDescent="0.25">
      <c r="A23" s="47">
        <v>14595817213</v>
      </c>
      <c r="B23" s="48">
        <v>46114.821111111109</v>
      </c>
      <c r="C23" s="47" t="s">
        <v>739</v>
      </c>
      <c r="D23" s="47" t="s">
        <v>162</v>
      </c>
      <c r="E23" s="47" t="s">
        <v>163</v>
      </c>
      <c r="F23" s="47"/>
      <c r="G23" s="47" t="s">
        <v>164</v>
      </c>
      <c r="H23" s="47" t="s">
        <v>53</v>
      </c>
      <c r="I23" s="47" t="s">
        <v>36</v>
      </c>
      <c r="J23" s="47" t="s">
        <v>37</v>
      </c>
      <c r="K23" s="47">
        <v>1985023781566</v>
      </c>
      <c r="L23" s="49">
        <v>46136</v>
      </c>
      <c r="M23" s="50">
        <v>0.4375</v>
      </c>
      <c r="N23" s="47" t="s">
        <v>41</v>
      </c>
      <c r="O23" s="47" t="s">
        <v>42</v>
      </c>
      <c r="P23" s="47">
        <v>1</v>
      </c>
      <c r="Q23" s="47"/>
      <c r="R23" s="47" t="s">
        <v>43</v>
      </c>
      <c r="S23" s="47" t="s">
        <v>44</v>
      </c>
      <c r="T23" s="47">
        <v>0</v>
      </c>
      <c r="U23" s="47" t="s">
        <v>703</v>
      </c>
      <c r="V23" s="47" t="s">
        <v>704</v>
      </c>
      <c r="W23" s="47" t="s">
        <v>165</v>
      </c>
      <c r="X23" s="47"/>
      <c r="Y23" s="47"/>
      <c r="Z23" s="47"/>
      <c r="AA23" s="47">
        <v>1.4595817213226599E+24</v>
      </c>
      <c r="AB23" s="47" t="s">
        <v>46</v>
      </c>
    </row>
    <row r="24" spans="1:28" x14ac:dyDescent="0.25">
      <c r="A24" s="33">
        <v>14595817213</v>
      </c>
      <c r="B24" s="34">
        <v>46114.821111111109</v>
      </c>
      <c r="C24" s="33" t="s">
        <v>703</v>
      </c>
      <c r="D24" s="33" t="s">
        <v>704</v>
      </c>
      <c r="E24" s="33" t="s">
        <v>165</v>
      </c>
      <c r="F24" s="33"/>
      <c r="G24" s="33" t="s">
        <v>164</v>
      </c>
      <c r="H24" s="33" t="s">
        <v>53</v>
      </c>
      <c r="I24" s="33" t="s">
        <v>36</v>
      </c>
      <c r="J24" s="33" t="s">
        <v>37</v>
      </c>
      <c r="K24" s="33">
        <v>1985023781566</v>
      </c>
      <c r="L24" s="35">
        <v>46136</v>
      </c>
      <c r="M24" s="36">
        <v>0.4375</v>
      </c>
      <c r="N24" s="33" t="s">
        <v>41</v>
      </c>
      <c r="O24" s="33" t="s">
        <v>42</v>
      </c>
      <c r="P24" s="33">
        <v>1</v>
      </c>
      <c r="Q24" s="33"/>
      <c r="R24" s="33" t="s">
        <v>43</v>
      </c>
      <c r="S24" s="33" t="s">
        <v>44</v>
      </c>
      <c r="T24" s="33">
        <v>0</v>
      </c>
      <c r="U24" s="33" t="s">
        <v>703</v>
      </c>
      <c r="V24" s="33" t="s">
        <v>704</v>
      </c>
      <c r="W24" s="33" t="s">
        <v>165</v>
      </c>
      <c r="X24" s="33"/>
      <c r="Y24" s="33"/>
      <c r="Z24" s="33"/>
      <c r="AA24" s="33">
        <v>1.4595817213226599E+24</v>
      </c>
      <c r="AB24" s="33" t="s">
        <v>46</v>
      </c>
    </row>
    <row r="25" spans="1:28" x14ac:dyDescent="0.25">
      <c r="A25" s="33">
        <v>14600462703</v>
      </c>
      <c r="B25" s="34">
        <v>46115.553368055553</v>
      </c>
      <c r="C25" s="33" t="s">
        <v>172</v>
      </c>
      <c r="D25" s="33" t="s">
        <v>173</v>
      </c>
      <c r="E25" s="33" t="s">
        <v>174</v>
      </c>
      <c r="F25" s="33"/>
      <c r="G25" s="33" t="s">
        <v>175</v>
      </c>
      <c r="H25" s="33" t="s">
        <v>53</v>
      </c>
      <c r="I25" s="33" t="s">
        <v>36</v>
      </c>
      <c r="J25" s="33" t="s">
        <v>37</v>
      </c>
      <c r="K25" s="33">
        <v>1985023781566</v>
      </c>
      <c r="L25" s="35">
        <v>46136</v>
      </c>
      <c r="M25" s="36">
        <v>0.4375</v>
      </c>
      <c r="N25" s="33" t="s">
        <v>41</v>
      </c>
      <c r="O25" s="33" t="s">
        <v>42</v>
      </c>
      <c r="P25" s="33">
        <v>1</v>
      </c>
      <c r="Q25" s="33"/>
      <c r="R25" s="33" t="s">
        <v>176</v>
      </c>
      <c r="S25" s="33" t="s">
        <v>44</v>
      </c>
      <c r="T25" s="33">
        <v>0</v>
      </c>
      <c r="U25" s="33" t="s">
        <v>172</v>
      </c>
      <c r="V25" s="33" t="s">
        <v>173</v>
      </c>
      <c r="W25" s="33" t="s">
        <v>174</v>
      </c>
      <c r="X25" s="33"/>
      <c r="Y25" s="33"/>
      <c r="Z25" s="33"/>
      <c r="AA25" s="33">
        <v>1.4600462703226601E+24</v>
      </c>
      <c r="AB25" s="33" t="s">
        <v>46</v>
      </c>
    </row>
    <row r="26" spans="1:28" x14ac:dyDescent="0.25">
      <c r="A26" s="33">
        <v>14600486663</v>
      </c>
      <c r="B26" s="34">
        <v>46115.555694444447</v>
      </c>
      <c r="C26" s="33" t="s">
        <v>180</v>
      </c>
      <c r="D26" s="33" t="s">
        <v>181</v>
      </c>
      <c r="E26" s="33" t="s">
        <v>182</v>
      </c>
      <c r="F26" s="33"/>
      <c r="G26" s="33" t="s">
        <v>183</v>
      </c>
      <c r="H26" s="33" t="s">
        <v>53</v>
      </c>
      <c r="I26" s="33" t="s">
        <v>36</v>
      </c>
      <c r="J26" s="33" t="s">
        <v>37</v>
      </c>
      <c r="K26" s="33">
        <v>1985023781566</v>
      </c>
      <c r="L26" s="35">
        <v>46136</v>
      </c>
      <c r="M26" s="36">
        <v>0.4375</v>
      </c>
      <c r="N26" s="33" t="s">
        <v>41</v>
      </c>
      <c r="O26" s="33" t="s">
        <v>42</v>
      </c>
      <c r="P26" s="33">
        <v>1</v>
      </c>
      <c r="Q26" s="33"/>
      <c r="R26" s="33" t="s">
        <v>184</v>
      </c>
      <c r="S26" s="33" t="s">
        <v>44</v>
      </c>
      <c r="T26" s="33">
        <v>1000</v>
      </c>
      <c r="U26" s="33" t="s">
        <v>185</v>
      </c>
      <c r="V26" s="33" t="s">
        <v>186</v>
      </c>
      <c r="W26" s="33" t="s">
        <v>182</v>
      </c>
      <c r="X26" s="33"/>
      <c r="Y26" s="33"/>
      <c r="Z26" s="33"/>
      <c r="AA26" s="33">
        <v>1.4600486663226601E+24</v>
      </c>
      <c r="AB26" s="33" t="s">
        <v>46</v>
      </c>
    </row>
    <row r="27" spans="1:28" x14ac:dyDescent="0.25">
      <c r="A27" s="33">
        <v>14616696833</v>
      </c>
      <c r="B27" s="34">
        <v>46118.508796296293</v>
      </c>
      <c r="C27" s="33" t="s">
        <v>190</v>
      </c>
      <c r="D27" s="33" t="s">
        <v>191</v>
      </c>
      <c r="E27" s="33" t="s">
        <v>192</v>
      </c>
      <c r="F27" s="33"/>
      <c r="G27" s="33" t="s">
        <v>175</v>
      </c>
      <c r="H27" s="33" t="s">
        <v>53</v>
      </c>
      <c r="I27" s="33" t="s">
        <v>36</v>
      </c>
      <c r="J27" s="33" t="s">
        <v>37</v>
      </c>
      <c r="K27" s="33">
        <v>1985023781566</v>
      </c>
      <c r="L27" s="35">
        <v>46136</v>
      </c>
      <c r="M27" s="36">
        <v>0.4375</v>
      </c>
      <c r="N27" s="33" t="s">
        <v>41</v>
      </c>
      <c r="O27" s="33" t="s">
        <v>42</v>
      </c>
      <c r="P27" s="33">
        <v>1</v>
      </c>
      <c r="Q27" s="33"/>
      <c r="R27" s="33" t="s">
        <v>43</v>
      </c>
      <c r="S27" s="33" t="s">
        <v>44</v>
      </c>
      <c r="T27" s="33">
        <v>25</v>
      </c>
      <c r="U27" s="33" t="s">
        <v>190</v>
      </c>
      <c r="V27" s="33" t="s">
        <v>191</v>
      </c>
      <c r="W27" s="33" t="s">
        <v>192</v>
      </c>
      <c r="X27" s="33"/>
      <c r="Y27" s="33"/>
      <c r="Z27" s="33"/>
      <c r="AA27" s="33">
        <v>1.4616696833226599E+24</v>
      </c>
      <c r="AB27" s="33" t="s">
        <v>46</v>
      </c>
    </row>
    <row r="28" spans="1:28" x14ac:dyDescent="0.25">
      <c r="A28" s="33">
        <v>14623336623</v>
      </c>
      <c r="B28" s="34">
        <v>46119.462384259263</v>
      </c>
      <c r="C28" s="33" t="s">
        <v>196</v>
      </c>
      <c r="D28" s="33" t="s">
        <v>197</v>
      </c>
      <c r="E28" s="33" t="s">
        <v>198</v>
      </c>
      <c r="F28" s="33"/>
      <c r="G28" s="33" t="s">
        <v>52</v>
      </c>
      <c r="H28" s="33" t="s">
        <v>53</v>
      </c>
      <c r="I28" s="33" t="s">
        <v>36</v>
      </c>
      <c r="J28" s="33" t="s">
        <v>37</v>
      </c>
      <c r="K28" s="33">
        <v>1985023781566</v>
      </c>
      <c r="L28" s="35">
        <v>46136</v>
      </c>
      <c r="M28" s="36">
        <v>0.4375</v>
      </c>
      <c r="N28" s="33" t="s">
        <v>41</v>
      </c>
      <c r="O28" s="33" t="s">
        <v>42</v>
      </c>
      <c r="P28" s="33">
        <v>1</v>
      </c>
      <c r="Q28" s="33"/>
      <c r="R28" s="33" t="s">
        <v>54</v>
      </c>
      <c r="S28" s="33" t="s">
        <v>44</v>
      </c>
      <c r="T28" s="33">
        <v>0</v>
      </c>
      <c r="U28" s="33" t="s">
        <v>196</v>
      </c>
      <c r="V28" s="33" t="s">
        <v>197</v>
      </c>
      <c r="W28" s="33" t="s">
        <v>198</v>
      </c>
      <c r="X28" s="33"/>
      <c r="Y28" s="33"/>
      <c r="Z28" s="33"/>
      <c r="AA28" s="33">
        <v>1.46233366232266E+24</v>
      </c>
      <c r="AB28" s="33" t="s">
        <v>46</v>
      </c>
    </row>
    <row r="29" spans="1:28" x14ac:dyDescent="0.25">
      <c r="A29" s="33">
        <v>14623337733</v>
      </c>
      <c r="B29" s="34">
        <v>46119.462488425925</v>
      </c>
      <c r="C29" s="33" t="s">
        <v>202</v>
      </c>
      <c r="D29" s="33" t="s">
        <v>203</v>
      </c>
      <c r="E29" s="33" t="s">
        <v>204</v>
      </c>
      <c r="F29" s="33"/>
      <c r="G29" s="33" t="s">
        <v>52</v>
      </c>
      <c r="H29" s="33" t="s">
        <v>53</v>
      </c>
      <c r="I29" s="33" t="s">
        <v>36</v>
      </c>
      <c r="J29" s="33" t="s">
        <v>37</v>
      </c>
      <c r="K29" s="33">
        <v>1985023781566</v>
      </c>
      <c r="L29" s="35">
        <v>46136</v>
      </c>
      <c r="M29" s="36">
        <v>0.4375</v>
      </c>
      <c r="N29" s="33" t="s">
        <v>41</v>
      </c>
      <c r="O29" s="33" t="s">
        <v>42</v>
      </c>
      <c r="P29" s="33">
        <v>1</v>
      </c>
      <c r="Q29" s="33"/>
      <c r="R29" s="33" t="s">
        <v>54</v>
      </c>
      <c r="S29" s="33" t="s">
        <v>44</v>
      </c>
      <c r="T29" s="33">
        <v>0</v>
      </c>
      <c r="U29" s="33" t="s">
        <v>202</v>
      </c>
      <c r="V29" s="33" t="s">
        <v>203</v>
      </c>
      <c r="W29" s="33" t="s">
        <v>204</v>
      </c>
      <c r="X29" s="33"/>
      <c r="Y29" s="33"/>
      <c r="Z29" s="33"/>
      <c r="AA29" s="33">
        <v>1.46233377332266E+24</v>
      </c>
      <c r="AB29" s="33" t="s">
        <v>46</v>
      </c>
    </row>
    <row r="30" spans="1:28" x14ac:dyDescent="0.25">
      <c r="A30" s="33">
        <v>14623349573</v>
      </c>
      <c r="B30" s="34">
        <v>46119.463587962964</v>
      </c>
      <c r="C30" s="33" t="s">
        <v>208</v>
      </c>
      <c r="D30" s="33" t="s">
        <v>209</v>
      </c>
      <c r="E30" s="33" t="s">
        <v>210</v>
      </c>
      <c r="F30" s="33"/>
      <c r="G30" s="33" t="s">
        <v>52</v>
      </c>
      <c r="H30" s="33" t="s">
        <v>53</v>
      </c>
      <c r="I30" s="33" t="s">
        <v>36</v>
      </c>
      <c r="J30" s="33" t="s">
        <v>37</v>
      </c>
      <c r="K30" s="33">
        <v>1985023781566</v>
      </c>
      <c r="L30" s="35">
        <v>46136</v>
      </c>
      <c r="M30" s="36">
        <v>0.4375</v>
      </c>
      <c r="N30" s="33" t="s">
        <v>41</v>
      </c>
      <c r="O30" s="33" t="s">
        <v>42</v>
      </c>
      <c r="P30" s="33">
        <v>1</v>
      </c>
      <c r="Q30" s="33"/>
      <c r="R30" s="33" t="s">
        <v>54</v>
      </c>
      <c r="S30" s="33" t="s">
        <v>44</v>
      </c>
      <c r="T30" s="33">
        <v>0</v>
      </c>
      <c r="U30" s="33" t="s">
        <v>208</v>
      </c>
      <c r="V30" s="33" t="s">
        <v>209</v>
      </c>
      <c r="W30" s="33" t="s">
        <v>210</v>
      </c>
      <c r="X30" s="33"/>
      <c r="Y30" s="33"/>
      <c r="Z30" s="33"/>
      <c r="AA30" s="33">
        <v>1.4623349573226599E+24</v>
      </c>
      <c r="AB30" s="33" t="s">
        <v>46</v>
      </c>
    </row>
    <row r="31" spans="1:28" x14ac:dyDescent="0.25">
      <c r="A31" s="33">
        <v>14623360983</v>
      </c>
      <c r="B31" s="34">
        <v>46119.464675925927</v>
      </c>
      <c r="C31" s="33" t="s">
        <v>214</v>
      </c>
      <c r="D31" s="33" t="s">
        <v>215</v>
      </c>
      <c r="E31" s="33" t="s">
        <v>216</v>
      </c>
      <c r="F31" s="33"/>
      <c r="G31" s="33" t="s">
        <v>52</v>
      </c>
      <c r="H31" s="33" t="s">
        <v>53</v>
      </c>
      <c r="I31" s="33" t="s">
        <v>36</v>
      </c>
      <c r="J31" s="33" t="s">
        <v>37</v>
      </c>
      <c r="K31" s="33">
        <v>1985023781566</v>
      </c>
      <c r="L31" s="35">
        <v>46136</v>
      </c>
      <c r="M31" s="36">
        <v>0.4375</v>
      </c>
      <c r="N31" s="33" t="s">
        <v>41</v>
      </c>
      <c r="O31" s="33" t="s">
        <v>42</v>
      </c>
      <c r="P31" s="33">
        <v>1</v>
      </c>
      <c r="Q31" s="33"/>
      <c r="R31" s="33" t="s">
        <v>54</v>
      </c>
      <c r="S31" s="33" t="s">
        <v>44</v>
      </c>
      <c r="T31" s="33">
        <v>0</v>
      </c>
      <c r="U31" s="33" t="s">
        <v>214</v>
      </c>
      <c r="V31" s="33" t="s">
        <v>215</v>
      </c>
      <c r="W31" s="33" t="s">
        <v>216</v>
      </c>
      <c r="X31" s="33"/>
      <c r="Y31" s="33"/>
      <c r="Z31" s="33"/>
      <c r="AA31" s="33">
        <v>1.46233609832266E+24</v>
      </c>
      <c r="AB31" s="33" t="s">
        <v>46</v>
      </c>
    </row>
    <row r="32" spans="1:28" x14ac:dyDescent="0.25">
      <c r="A32" s="33">
        <v>14623362313</v>
      </c>
      <c r="B32" s="34">
        <v>46119.464826388888</v>
      </c>
      <c r="C32" s="33" t="s">
        <v>220</v>
      </c>
      <c r="D32" s="33" t="s">
        <v>221</v>
      </c>
      <c r="E32" s="33" t="s">
        <v>222</v>
      </c>
      <c r="F32" s="33"/>
      <c r="G32" s="33" t="s">
        <v>52</v>
      </c>
      <c r="H32" s="33" t="s">
        <v>53</v>
      </c>
      <c r="I32" s="33" t="s">
        <v>36</v>
      </c>
      <c r="J32" s="33" t="s">
        <v>37</v>
      </c>
      <c r="K32" s="33">
        <v>1985023781566</v>
      </c>
      <c r="L32" s="35">
        <v>46136</v>
      </c>
      <c r="M32" s="36">
        <v>0.4375</v>
      </c>
      <c r="N32" s="33" t="s">
        <v>41</v>
      </c>
      <c r="O32" s="33" t="s">
        <v>42</v>
      </c>
      <c r="P32" s="33">
        <v>1</v>
      </c>
      <c r="Q32" s="33"/>
      <c r="R32" s="33" t="s">
        <v>54</v>
      </c>
      <c r="S32" s="33" t="s">
        <v>44</v>
      </c>
      <c r="T32" s="33">
        <v>0</v>
      </c>
      <c r="U32" s="33" t="s">
        <v>220</v>
      </c>
      <c r="V32" s="33" t="s">
        <v>221</v>
      </c>
      <c r="W32" s="33" t="s">
        <v>222</v>
      </c>
      <c r="X32" s="33"/>
      <c r="Y32" s="33"/>
      <c r="Z32" s="33"/>
      <c r="AA32" s="33">
        <v>1.4623362313226601E+24</v>
      </c>
      <c r="AB32" s="33" t="s">
        <v>46</v>
      </c>
    </row>
    <row r="33" spans="1:28" x14ac:dyDescent="0.25">
      <c r="A33" s="33">
        <v>14624053033</v>
      </c>
      <c r="B33" s="34">
        <v>46119.52920138889</v>
      </c>
      <c r="C33" s="33" t="s">
        <v>226</v>
      </c>
      <c r="D33" s="33" t="s">
        <v>227</v>
      </c>
      <c r="E33" s="33" t="s">
        <v>228</v>
      </c>
      <c r="F33" s="33"/>
      <c r="G33" s="33" t="s">
        <v>52</v>
      </c>
      <c r="H33" s="33" t="s">
        <v>53</v>
      </c>
      <c r="I33" s="33" t="s">
        <v>36</v>
      </c>
      <c r="J33" s="33" t="s">
        <v>37</v>
      </c>
      <c r="K33" s="33">
        <v>1985023781566</v>
      </c>
      <c r="L33" s="35">
        <v>46136</v>
      </c>
      <c r="M33" s="36">
        <v>0.4375</v>
      </c>
      <c r="N33" s="33" t="s">
        <v>41</v>
      </c>
      <c r="O33" s="33" t="s">
        <v>42</v>
      </c>
      <c r="P33" s="33">
        <v>1</v>
      </c>
      <c r="Q33" s="33"/>
      <c r="R33" s="33" t="s">
        <v>54</v>
      </c>
      <c r="S33" s="33" t="s">
        <v>44</v>
      </c>
      <c r="T33" s="33">
        <v>0</v>
      </c>
      <c r="U33" s="33" t="s">
        <v>226</v>
      </c>
      <c r="V33" s="33" t="s">
        <v>227</v>
      </c>
      <c r="W33" s="33" t="s">
        <v>228</v>
      </c>
      <c r="X33" s="33"/>
      <c r="Y33" s="33"/>
      <c r="Z33" s="33"/>
      <c r="AA33" s="33">
        <v>1.46240530332266E+24</v>
      </c>
      <c r="AB33" s="33" t="s">
        <v>46</v>
      </c>
    </row>
    <row r="34" spans="1:28" x14ac:dyDescent="0.25">
      <c r="A34" s="33">
        <v>14625719843</v>
      </c>
      <c r="B34" s="34">
        <v>46119.688310185185</v>
      </c>
      <c r="C34" s="33" t="s">
        <v>232</v>
      </c>
      <c r="D34" s="33" t="s">
        <v>233</v>
      </c>
      <c r="E34" s="33" t="s">
        <v>234</v>
      </c>
      <c r="F34" s="33"/>
      <c r="G34" s="33" t="s">
        <v>52</v>
      </c>
      <c r="H34" s="33" t="s">
        <v>53</v>
      </c>
      <c r="I34" s="33" t="s">
        <v>36</v>
      </c>
      <c r="J34" s="33" t="s">
        <v>37</v>
      </c>
      <c r="K34" s="33">
        <v>1985023781566</v>
      </c>
      <c r="L34" s="35">
        <v>46136</v>
      </c>
      <c r="M34" s="36">
        <v>0.4375</v>
      </c>
      <c r="N34" s="33" t="s">
        <v>41</v>
      </c>
      <c r="O34" s="33" t="s">
        <v>42</v>
      </c>
      <c r="P34" s="33">
        <v>1</v>
      </c>
      <c r="Q34" s="33"/>
      <c r="R34" s="33" t="s">
        <v>43</v>
      </c>
      <c r="S34" s="33" t="s">
        <v>44</v>
      </c>
      <c r="T34" s="33">
        <v>0</v>
      </c>
      <c r="U34" s="33" t="s">
        <v>232</v>
      </c>
      <c r="V34" s="33" t="s">
        <v>233</v>
      </c>
      <c r="W34" s="33" t="s">
        <v>234</v>
      </c>
      <c r="X34" s="33"/>
      <c r="Y34" s="33"/>
      <c r="Z34" s="33"/>
      <c r="AA34" s="33">
        <v>1.46257198432266E+24</v>
      </c>
      <c r="AB34" s="33" t="s">
        <v>46</v>
      </c>
    </row>
    <row r="35" spans="1:28" x14ac:dyDescent="0.25">
      <c r="A35" s="33">
        <v>14625782873</v>
      </c>
      <c r="B35" s="34">
        <v>46119.6953125</v>
      </c>
      <c r="C35" s="33" t="s">
        <v>705</v>
      </c>
      <c r="D35" s="33" t="s">
        <v>704</v>
      </c>
      <c r="E35" s="33" t="s">
        <v>238</v>
      </c>
      <c r="F35" s="33"/>
      <c r="G35" s="33" t="s">
        <v>239</v>
      </c>
      <c r="H35" s="33" t="s">
        <v>53</v>
      </c>
      <c r="I35" s="33" t="s">
        <v>36</v>
      </c>
      <c r="J35" s="33" t="s">
        <v>37</v>
      </c>
      <c r="K35" s="33">
        <v>1985023781566</v>
      </c>
      <c r="L35" s="35">
        <v>46136</v>
      </c>
      <c r="M35" s="36">
        <v>0.4375</v>
      </c>
      <c r="N35" s="33" t="s">
        <v>41</v>
      </c>
      <c r="O35" s="33" t="s">
        <v>42</v>
      </c>
      <c r="P35" s="33">
        <v>1</v>
      </c>
      <c r="Q35" s="33"/>
      <c r="R35" s="33" t="s">
        <v>43</v>
      </c>
      <c r="S35" s="33" t="s">
        <v>44</v>
      </c>
      <c r="T35" s="33">
        <v>0</v>
      </c>
      <c r="U35" s="33" t="s">
        <v>705</v>
      </c>
      <c r="V35" s="33" t="s">
        <v>704</v>
      </c>
      <c r="W35" s="33" t="s">
        <v>238</v>
      </c>
      <c r="X35" s="33"/>
      <c r="Y35" s="33"/>
      <c r="Z35" s="33"/>
      <c r="AA35" s="33">
        <v>1.46257828732266E+24</v>
      </c>
      <c r="AB35" s="33" t="s">
        <v>46</v>
      </c>
    </row>
    <row r="36" spans="1:28" x14ac:dyDescent="0.25">
      <c r="A36" s="33">
        <v>14626595693</v>
      </c>
      <c r="B36" s="34">
        <v>46119.79315972222</v>
      </c>
      <c r="C36" s="33" t="s">
        <v>156</v>
      </c>
      <c r="D36" s="33" t="s">
        <v>243</v>
      </c>
      <c r="E36" s="33" t="s">
        <v>244</v>
      </c>
      <c r="F36" s="33"/>
      <c r="G36" s="33" t="s">
        <v>52</v>
      </c>
      <c r="H36" s="33" t="s">
        <v>53</v>
      </c>
      <c r="I36" s="33" t="s">
        <v>36</v>
      </c>
      <c r="J36" s="33" t="s">
        <v>37</v>
      </c>
      <c r="K36" s="33">
        <v>1985023781566</v>
      </c>
      <c r="L36" s="35">
        <v>46136</v>
      </c>
      <c r="M36" s="36">
        <v>0.4375</v>
      </c>
      <c r="N36" s="33" t="s">
        <v>41</v>
      </c>
      <c r="O36" s="33" t="s">
        <v>42</v>
      </c>
      <c r="P36" s="33">
        <v>1</v>
      </c>
      <c r="Q36" s="33"/>
      <c r="R36" s="33" t="s">
        <v>43</v>
      </c>
      <c r="S36" s="33" t="s">
        <v>44</v>
      </c>
      <c r="T36" s="33">
        <v>0</v>
      </c>
      <c r="U36" s="33" t="s">
        <v>156</v>
      </c>
      <c r="V36" s="33" t="s">
        <v>243</v>
      </c>
      <c r="W36" s="33" t="s">
        <v>244</v>
      </c>
      <c r="X36" s="33"/>
      <c r="Y36" s="33"/>
      <c r="Z36" s="33"/>
      <c r="AA36" s="33">
        <v>1.4626595693226601E+24</v>
      </c>
      <c r="AB36" s="33" t="s">
        <v>46</v>
      </c>
    </row>
    <row r="37" spans="1:28" x14ac:dyDescent="0.25">
      <c r="A37" s="33">
        <v>14626736493</v>
      </c>
      <c r="B37" s="34">
        <v>46119.805150462962</v>
      </c>
      <c r="C37" s="33" t="s">
        <v>248</v>
      </c>
      <c r="D37" s="33" t="s">
        <v>249</v>
      </c>
      <c r="E37" s="33" t="s">
        <v>250</v>
      </c>
      <c r="F37" s="33"/>
      <c r="G37" s="33" t="s">
        <v>52</v>
      </c>
      <c r="H37" s="33" t="s">
        <v>53</v>
      </c>
      <c r="I37" s="33" t="s">
        <v>36</v>
      </c>
      <c r="J37" s="33" t="s">
        <v>37</v>
      </c>
      <c r="K37" s="33">
        <v>1985023781566</v>
      </c>
      <c r="L37" s="35">
        <v>46136</v>
      </c>
      <c r="M37" s="36">
        <v>0.4375</v>
      </c>
      <c r="N37" s="33" t="s">
        <v>41</v>
      </c>
      <c r="O37" s="33" t="s">
        <v>42</v>
      </c>
      <c r="P37" s="33">
        <v>1</v>
      </c>
      <c r="Q37" s="33"/>
      <c r="R37" s="33" t="s">
        <v>43</v>
      </c>
      <c r="S37" s="33" t="s">
        <v>44</v>
      </c>
      <c r="T37" s="33">
        <v>25</v>
      </c>
      <c r="U37" s="33" t="s">
        <v>248</v>
      </c>
      <c r="V37" s="33" t="s">
        <v>249</v>
      </c>
      <c r="W37" s="33" t="s">
        <v>250</v>
      </c>
      <c r="X37" s="33"/>
      <c r="Y37" s="33"/>
      <c r="Z37" s="33"/>
      <c r="AA37" s="33">
        <v>1.46267364932266E+24</v>
      </c>
      <c r="AB37" s="33" t="s">
        <v>46</v>
      </c>
    </row>
    <row r="38" spans="1:28" x14ac:dyDescent="0.25">
      <c r="A38" s="33">
        <v>14630738233</v>
      </c>
      <c r="B38" s="34">
        <v>46120.426747685182</v>
      </c>
      <c r="C38" s="33" t="s">
        <v>254</v>
      </c>
      <c r="D38" s="33" t="s">
        <v>255</v>
      </c>
      <c r="E38" s="33" t="s">
        <v>256</v>
      </c>
      <c r="F38" s="33"/>
      <c r="G38" s="33" t="s">
        <v>34</v>
      </c>
      <c r="H38" s="33" t="s">
        <v>35</v>
      </c>
      <c r="I38" s="33" t="s">
        <v>36</v>
      </c>
      <c r="J38" s="33" t="s">
        <v>37</v>
      </c>
      <c r="K38" s="33">
        <v>1985023781566</v>
      </c>
      <c r="L38" s="35">
        <v>46136</v>
      </c>
      <c r="M38" s="36">
        <v>0.4375</v>
      </c>
      <c r="N38" s="33" t="s">
        <v>41</v>
      </c>
      <c r="O38" s="33" t="s">
        <v>42</v>
      </c>
      <c r="P38" s="33">
        <v>1</v>
      </c>
      <c r="Q38" s="33"/>
      <c r="R38" s="33" t="s">
        <v>43</v>
      </c>
      <c r="S38" s="33" t="s">
        <v>44</v>
      </c>
      <c r="T38" s="33">
        <v>25</v>
      </c>
      <c r="U38" s="33" t="s">
        <v>254</v>
      </c>
      <c r="V38" s="33" t="s">
        <v>255</v>
      </c>
      <c r="W38" s="33" t="s">
        <v>256</v>
      </c>
      <c r="X38" s="33"/>
      <c r="Y38" s="33"/>
      <c r="Z38" s="33"/>
      <c r="AA38" s="33">
        <v>1.4630738233226601E+24</v>
      </c>
      <c r="AB38" s="33" t="s">
        <v>46</v>
      </c>
    </row>
    <row r="39" spans="1:28" x14ac:dyDescent="0.25">
      <c r="A39" s="33">
        <v>14632140813</v>
      </c>
      <c r="B39" s="34">
        <v>46120.550995370373</v>
      </c>
      <c r="C39" s="33" t="s">
        <v>260</v>
      </c>
      <c r="D39" s="33" t="s">
        <v>261</v>
      </c>
      <c r="E39" s="33" t="s">
        <v>262</v>
      </c>
      <c r="F39" s="33"/>
      <c r="G39" s="33" t="s">
        <v>52</v>
      </c>
      <c r="H39" s="33" t="s">
        <v>53</v>
      </c>
      <c r="I39" s="33" t="s">
        <v>36</v>
      </c>
      <c r="J39" s="33" t="s">
        <v>37</v>
      </c>
      <c r="K39" s="33">
        <v>1985023781566</v>
      </c>
      <c r="L39" s="35">
        <v>46136</v>
      </c>
      <c r="M39" s="36">
        <v>0.4375</v>
      </c>
      <c r="N39" s="33" t="s">
        <v>41</v>
      </c>
      <c r="O39" s="33" t="s">
        <v>42</v>
      </c>
      <c r="P39" s="33">
        <v>1</v>
      </c>
      <c r="Q39" s="33"/>
      <c r="R39" s="33" t="s">
        <v>54</v>
      </c>
      <c r="S39" s="33" t="s">
        <v>44</v>
      </c>
      <c r="T39" s="33">
        <v>0</v>
      </c>
      <c r="U39" s="33" t="s">
        <v>260</v>
      </c>
      <c r="V39" s="33" t="s">
        <v>261</v>
      </c>
      <c r="W39" s="33" t="s">
        <v>262</v>
      </c>
      <c r="X39" s="33"/>
      <c r="Y39" s="33"/>
      <c r="Z39" s="33"/>
      <c r="AA39" s="33">
        <v>1.4632140813226599E+24</v>
      </c>
      <c r="AB39" s="33" t="s">
        <v>46</v>
      </c>
    </row>
    <row r="40" spans="1:28" x14ac:dyDescent="0.25">
      <c r="A40" s="33">
        <v>14632368733</v>
      </c>
      <c r="B40" s="34">
        <v>46120.570173611108</v>
      </c>
      <c r="C40" s="33" t="s">
        <v>266</v>
      </c>
      <c r="D40" s="33" t="s">
        <v>267</v>
      </c>
      <c r="E40" s="33" t="s">
        <v>268</v>
      </c>
      <c r="F40" s="33"/>
      <c r="G40" s="33" t="s">
        <v>239</v>
      </c>
      <c r="H40" s="33" t="s">
        <v>53</v>
      </c>
      <c r="I40" s="33" t="s">
        <v>36</v>
      </c>
      <c r="J40" s="33" t="s">
        <v>37</v>
      </c>
      <c r="K40" s="33">
        <v>1985023781566</v>
      </c>
      <c r="L40" s="35">
        <v>46136</v>
      </c>
      <c r="M40" s="36">
        <v>0.4375</v>
      </c>
      <c r="N40" s="33" t="s">
        <v>41</v>
      </c>
      <c r="O40" s="33" t="s">
        <v>42</v>
      </c>
      <c r="P40" s="33">
        <v>1</v>
      </c>
      <c r="Q40" s="33"/>
      <c r="R40" s="33" t="s">
        <v>43</v>
      </c>
      <c r="S40" s="33" t="s">
        <v>44</v>
      </c>
      <c r="T40" s="33">
        <v>25</v>
      </c>
      <c r="U40" s="33" t="s">
        <v>266</v>
      </c>
      <c r="V40" s="33" t="s">
        <v>267</v>
      </c>
      <c r="W40" s="33" t="s">
        <v>268</v>
      </c>
      <c r="X40" s="33"/>
      <c r="Y40" s="33"/>
      <c r="Z40" s="33"/>
      <c r="AA40" s="33">
        <v>1.46323687332266E+24</v>
      </c>
      <c r="AB40" s="33" t="s">
        <v>46</v>
      </c>
    </row>
    <row r="41" spans="1:28" x14ac:dyDescent="0.25">
      <c r="A41" s="33">
        <v>14633049863</v>
      </c>
      <c r="B41" s="34">
        <v>46120.631122685183</v>
      </c>
      <c r="C41" s="33" t="s">
        <v>272</v>
      </c>
      <c r="D41" s="33" t="s">
        <v>273</v>
      </c>
      <c r="E41" s="33" t="s">
        <v>274</v>
      </c>
      <c r="F41" s="33"/>
      <c r="G41" s="33" t="s">
        <v>275</v>
      </c>
      <c r="H41" s="33" t="s">
        <v>53</v>
      </c>
      <c r="I41" s="33" t="s">
        <v>36</v>
      </c>
      <c r="J41" s="33" t="s">
        <v>37</v>
      </c>
      <c r="K41" s="33">
        <v>1985023781566</v>
      </c>
      <c r="L41" s="35">
        <v>46136</v>
      </c>
      <c r="M41" s="36">
        <v>0.4375</v>
      </c>
      <c r="N41" s="33" t="s">
        <v>41</v>
      </c>
      <c r="O41" s="33" t="s">
        <v>42</v>
      </c>
      <c r="P41" s="33">
        <v>1</v>
      </c>
      <c r="Q41" s="33"/>
      <c r="R41" s="33" t="s">
        <v>43</v>
      </c>
      <c r="S41" s="33" t="s">
        <v>44</v>
      </c>
      <c r="T41" s="33">
        <v>25</v>
      </c>
      <c r="U41" s="33" t="s">
        <v>272</v>
      </c>
      <c r="V41" s="33" t="s">
        <v>273</v>
      </c>
      <c r="W41" s="33" t="s">
        <v>274</v>
      </c>
      <c r="X41" s="33"/>
      <c r="Y41" s="33"/>
      <c r="Z41" s="33"/>
      <c r="AA41" s="33">
        <v>1.46330498632266E+24</v>
      </c>
      <c r="AB41" s="33" t="s">
        <v>46</v>
      </c>
    </row>
    <row r="42" spans="1:28" x14ac:dyDescent="0.25">
      <c r="A42" s="33">
        <v>14633356293</v>
      </c>
      <c r="B42" s="34">
        <v>46120.660428240742</v>
      </c>
      <c r="C42" s="33" t="s">
        <v>279</v>
      </c>
      <c r="D42" s="33" t="s">
        <v>280</v>
      </c>
      <c r="E42" s="33" t="s">
        <v>281</v>
      </c>
      <c r="F42" s="33"/>
      <c r="G42" s="33" t="s">
        <v>34</v>
      </c>
      <c r="H42" s="33" t="s">
        <v>35</v>
      </c>
      <c r="I42" s="33" t="s">
        <v>36</v>
      </c>
      <c r="J42" s="33" t="s">
        <v>37</v>
      </c>
      <c r="K42" s="33">
        <v>1985023781566</v>
      </c>
      <c r="L42" s="35">
        <v>46136</v>
      </c>
      <c r="M42" s="36">
        <v>0.4375</v>
      </c>
      <c r="N42" s="33" t="s">
        <v>41</v>
      </c>
      <c r="O42" s="33" t="s">
        <v>42</v>
      </c>
      <c r="P42" s="33">
        <v>1</v>
      </c>
      <c r="Q42" s="33"/>
      <c r="R42" s="33" t="s">
        <v>142</v>
      </c>
      <c r="S42" s="33" t="s">
        <v>44</v>
      </c>
      <c r="T42" s="33">
        <v>250</v>
      </c>
      <c r="U42" s="33" t="s">
        <v>279</v>
      </c>
      <c r="V42" s="33" t="s">
        <v>280</v>
      </c>
      <c r="W42" s="33" t="s">
        <v>281</v>
      </c>
      <c r="X42" s="33"/>
      <c r="Y42" s="33"/>
      <c r="Z42" s="33"/>
      <c r="AA42" s="33">
        <v>1.46333562932266E+24</v>
      </c>
      <c r="AB42" s="33" t="s">
        <v>46</v>
      </c>
    </row>
    <row r="43" spans="1:28" x14ac:dyDescent="0.25">
      <c r="A43" s="33">
        <v>14635735183</v>
      </c>
      <c r="B43" s="34">
        <v>46120.965532407405</v>
      </c>
      <c r="C43" s="33" t="s">
        <v>285</v>
      </c>
      <c r="D43" s="33" t="s">
        <v>286</v>
      </c>
      <c r="E43" s="33" t="s">
        <v>287</v>
      </c>
      <c r="F43" s="33"/>
      <c r="G43" s="33" t="s">
        <v>239</v>
      </c>
      <c r="H43" s="33" t="s">
        <v>53</v>
      </c>
      <c r="I43" s="33" t="s">
        <v>36</v>
      </c>
      <c r="J43" s="33" t="s">
        <v>37</v>
      </c>
      <c r="K43" s="33">
        <v>1985023781566</v>
      </c>
      <c r="L43" s="35">
        <v>46136</v>
      </c>
      <c r="M43" s="36">
        <v>0.4375</v>
      </c>
      <c r="N43" s="33" t="s">
        <v>41</v>
      </c>
      <c r="O43" s="33" t="s">
        <v>42</v>
      </c>
      <c r="P43" s="33">
        <v>1</v>
      </c>
      <c r="Q43" s="33"/>
      <c r="R43" s="33" t="s">
        <v>43</v>
      </c>
      <c r="S43" s="33" t="s">
        <v>44</v>
      </c>
      <c r="T43" s="33">
        <v>0</v>
      </c>
      <c r="U43" s="33" t="s">
        <v>285</v>
      </c>
      <c r="V43" s="33" t="s">
        <v>286</v>
      </c>
      <c r="W43" s="33" t="s">
        <v>287</v>
      </c>
      <c r="X43" s="33"/>
      <c r="Y43" s="33"/>
      <c r="Z43" s="33"/>
      <c r="AA43" s="33">
        <v>1.4635735183226601E+24</v>
      </c>
      <c r="AB43" s="33" t="s">
        <v>46</v>
      </c>
    </row>
    <row r="44" spans="1:28" x14ac:dyDescent="0.25">
      <c r="A44" s="33">
        <v>14637895013</v>
      </c>
      <c r="B44" s="34">
        <v>46121.333229166667</v>
      </c>
      <c r="C44" s="33" t="s">
        <v>291</v>
      </c>
      <c r="D44" s="33" t="s">
        <v>292</v>
      </c>
      <c r="E44" s="33" t="s">
        <v>293</v>
      </c>
      <c r="F44" s="33"/>
      <c r="G44" s="33" t="s">
        <v>294</v>
      </c>
      <c r="H44" s="33" t="s">
        <v>53</v>
      </c>
      <c r="I44" s="33" t="s">
        <v>36</v>
      </c>
      <c r="J44" s="33" t="s">
        <v>37</v>
      </c>
      <c r="K44" s="33">
        <v>1985023781566</v>
      </c>
      <c r="L44" s="35">
        <v>46136</v>
      </c>
      <c r="M44" s="36">
        <v>0.4375</v>
      </c>
      <c r="N44" s="33" t="s">
        <v>41</v>
      </c>
      <c r="O44" s="33" t="s">
        <v>42</v>
      </c>
      <c r="P44" s="33">
        <v>1</v>
      </c>
      <c r="Q44" s="33"/>
      <c r="R44" s="33" t="s">
        <v>43</v>
      </c>
      <c r="S44" s="33" t="s">
        <v>44</v>
      </c>
      <c r="T44" s="33">
        <v>0</v>
      </c>
      <c r="U44" s="33" t="s">
        <v>291</v>
      </c>
      <c r="V44" s="33" t="s">
        <v>292</v>
      </c>
      <c r="W44" s="33" t="s">
        <v>293</v>
      </c>
      <c r="X44" s="33"/>
      <c r="Y44" s="33"/>
      <c r="Z44" s="33"/>
      <c r="AA44" s="33">
        <v>1.4637895013226599E+24</v>
      </c>
      <c r="AB44" s="33" t="s">
        <v>46</v>
      </c>
    </row>
    <row r="45" spans="1:28" x14ac:dyDescent="0.25">
      <c r="A45" s="33">
        <v>14640234633</v>
      </c>
      <c r="B45" s="34">
        <v>46121.549699074072</v>
      </c>
      <c r="C45" s="33" t="s">
        <v>298</v>
      </c>
      <c r="D45" s="33" t="s">
        <v>299</v>
      </c>
      <c r="E45" s="33" t="s">
        <v>300</v>
      </c>
      <c r="F45" s="33"/>
      <c r="G45" s="33" t="s">
        <v>294</v>
      </c>
      <c r="H45" s="33" t="s">
        <v>53</v>
      </c>
      <c r="I45" s="33" t="s">
        <v>36</v>
      </c>
      <c r="J45" s="33" t="s">
        <v>37</v>
      </c>
      <c r="K45" s="33">
        <v>1985023781566</v>
      </c>
      <c r="L45" s="35">
        <v>46136</v>
      </c>
      <c r="M45" s="36">
        <v>0.4375</v>
      </c>
      <c r="N45" s="33" t="s">
        <v>41</v>
      </c>
      <c r="O45" s="33" t="s">
        <v>42</v>
      </c>
      <c r="P45" s="33">
        <v>1</v>
      </c>
      <c r="Q45" s="33"/>
      <c r="R45" s="33" t="s">
        <v>176</v>
      </c>
      <c r="S45" s="33" t="s">
        <v>44</v>
      </c>
      <c r="T45" s="33">
        <v>0</v>
      </c>
      <c r="U45" s="33" t="s">
        <v>298</v>
      </c>
      <c r="V45" s="33" t="s">
        <v>299</v>
      </c>
      <c r="W45" s="33" t="s">
        <v>300</v>
      </c>
      <c r="X45" s="33"/>
      <c r="Y45" s="33"/>
      <c r="Z45" s="33"/>
      <c r="AA45" s="33">
        <v>1.4640234633226699E+24</v>
      </c>
      <c r="AB45" s="33" t="s">
        <v>46</v>
      </c>
    </row>
    <row r="46" spans="1:28" x14ac:dyDescent="0.25">
      <c r="A46" s="33">
        <v>14642390473</v>
      </c>
      <c r="B46" s="34">
        <v>46121.754849537036</v>
      </c>
      <c r="C46" s="33" t="s">
        <v>304</v>
      </c>
      <c r="D46" s="33" t="s">
        <v>305</v>
      </c>
      <c r="E46" s="33" t="s">
        <v>306</v>
      </c>
      <c r="F46" s="33"/>
      <c r="G46" s="33" t="s">
        <v>52</v>
      </c>
      <c r="H46" s="33" t="s">
        <v>53</v>
      </c>
      <c r="I46" s="33" t="s">
        <v>36</v>
      </c>
      <c r="J46" s="33" t="s">
        <v>37</v>
      </c>
      <c r="K46" s="33">
        <v>1985023781566</v>
      </c>
      <c r="L46" s="35">
        <v>46136</v>
      </c>
      <c r="M46" s="36">
        <v>0.4375</v>
      </c>
      <c r="N46" s="33" t="s">
        <v>41</v>
      </c>
      <c r="O46" s="33" t="s">
        <v>42</v>
      </c>
      <c r="P46" s="33">
        <v>1</v>
      </c>
      <c r="Q46" s="33"/>
      <c r="R46" s="33" t="s">
        <v>54</v>
      </c>
      <c r="S46" s="33" t="s">
        <v>44</v>
      </c>
      <c r="T46" s="33">
        <v>0</v>
      </c>
      <c r="U46" s="33" t="s">
        <v>304</v>
      </c>
      <c r="V46" s="33" t="s">
        <v>305</v>
      </c>
      <c r="W46" s="33" t="s">
        <v>306</v>
      </c>
      <c r="X46" s="33"/>
      <c r="Y46" s="33"/>
      <c r="Z46" s="33"/>
      <c r="AA46" s="33">
        <v>1.46423904732267E+24</v>
      </c>
      <c r="AB46" s="33" t="s">
        <v>46</v>
      </c>
    </row>
    <row r="47" spans="1:28" x14ac:dyDescent="0.25">
      <c r="A47" s="33">
        <v>14642585283</v>
      </c>
      <c r="B47" s="34">
        <v>46121.778749999998</v>
      </c>
      <c r="C47" s="33" t="s">
        <v>310</v>
      </c>
      <c r="D47" s="33" t="s">
        <v>311</v>
      </c>
      <c r="E47" s="33" t="s">
        <v>312</v>
      </c>
      <c r="F47" s="33"/>
      <c r="G47" s="33" t="s">
        <v>313</v>
      </c>
      <c r="H47" s="33" t="s">
        <v>314</v>
      </c>
      <c r="I47" s="33" t="s">
        <v>36</v>
      </c>
      <c r="J47" s="33" t="s">
        <v>37</v>
      </c>
      <c r="K47" s="33">
        <v>1985023781566</v>
      </c>
      <c r="L47" s="35">
        <v>46136</v>
      </c>
      <c r="M47" s="36">
        <v>0.4375</v>
      </c>
      <c r="N47" s="33" t="s">
        <v>41</v>
      </c>
      <c r="O47" s="33" t="s">
        <v>42</v>
      </c>
      <c r="P47" s="33">
        <v>1</v>
      </c>
      <c r="Q47" s="33"/>
      <c r="R47" s="33" t="s">
        <v>54</v>
      </c>
      <c r="S47" s="33" t="s">
        <v>44</v>
      </c>
      <c r="T47" s="33">
        <v>0</v>
      </c>
      <c r="U47" s="33" t="s">
        <v>310</v>
      </c>
      <c r="V47" s="33" t="s">
        <v>311</v>
      </c>
      <c r="W47" s="33" t="s">
        <v>312</v>
      </c>
      <c r="X47" s="33"/>
      <c r="Y47" s="33"/>
      <c r="Z47" s="33"/>
      <c r="AA47" s="33">
        <v>1.4642585283226699E+24</v>
      </c>
      <c r="AB47" s="33" t="s">
        <v>46</v>
      </c>
    </row>
    <row r="48" spans="1:28" x14ac:dyDescent="0.25">
      <c r="A48" s="33">
        <v>14642906293</v>
      </c>
      <c r="B48" s="34">
        <v>46121.81858796296</v>
      </c>
      <c r="C48" s="33" t="s">
        <v>318</v>
      </c>
      <c r="D48" s="33" t="s">
        <v>156</v>
      </c>
      <c r="E48" s="33" t="s">
        <v>155</v>
      </c>
      <c r="F48" s="33"/>
      <c r="G48" s="33" t="s">
        <v>52</v>
      </c>
      <c r="H48" s="33" t="s">
        <v>53</v>
      </c>
      <c r="I48" s="33" t="s">
        <v>36</v>
      </c>
      <c r="J48" s="33" t="s">
        <v>37</v>
      </c>
      <c r="K48" s="33">
        <v>1985023781566</v>
      </c>
      <c r="L48" s="35">
        <v>46136</v>
      </c>
      <c r="M48" s="36">
        <v>0.4375</v>
      </c>
      <c r="N48" s="33" t="s">
        <v>41</v>
      </c>
      <c r="O48" s="33" t="s">
        <v>42</v>
      </c>
      <c r="P48" s="33">
        <v>1</v>
      </c>
      <c r="Q48" s="33"/>
      <c r="R48" s="33" t="s">
        <v>176</v>
      </c>
      <c r="S48" s="33" t="s">
        <v>44</v>
      </c>
      <c r="T48" s="33">
        <v>0</v>
      </c>
      <c r="U48" s="33" t="s">
        <v>318</v>
      </c>
      <c r="V48" s="33" t="s">
        <v>156</v>
      </c>
      <c r="W48" s="33" t="s">
        <v>319</v>
      </c>
      <c r="X48" s="33"/>
      <c r="Y48" s="33"/>
      <c r="Z48" s="33"/>
      <c r="AA48" s="33">
        <v>1.4642906293226699E+24</v>
      </c>
      <c r="AB48" s="33" t="s">
        <v>46</v>
      </c>
    </row>
    <row r="49" spans="1:28" x14ac:dyDescent="0.25">
      <c r="A49" s="33">
        <v>14643408123</v>
      </c>
      <c r="B49" s="34">
        <v>46121.884756944448</v>
      </c>
      <c r="C49" s="33" t="s">
        <v>323</v>
      </c>
      <c r="D49" s="33" t="s">
        <v>324</v>
      </c>
      <c r="E49" s="33" t="s">
        <v>325</v>
      </c>
      <c r="F49" s="33"/>
      <c r="G49" s="33" t="s">
        <v>52</v>
      </c>
      <c r="H49" s="33" t="s">
        <v>53</v>
      </c>
      <c r="I49" s="33" t="s">
        <v>36</v>
      </c>
      <c r="J49" s="33" t="s">
        <v>37</v>
      </c>
      <c r="K49" s="33">
        <v>1985023781566</v>
      </c>
      <c r="L49" s="35">
        <v>46136</v>
      </c>
      <c r="M49" s="36">
        <v>0.4375</v>
      </c>
      <c r="N49" s="33" t="s">
        <v>41</v>
      </c>
      <c r="O49" s="33" t="s">
        <v>42</v>
      </c>
      <c r="P49" s="33">
        <v>1</v>
      </c>
      <c r="Q49" s="33"/>
      <c r="R49" s="33" t="s">
        <v>54</v>
      </c>
      <c r="S49" s="33" t="s">
        <v>44</v>
      </c>
      <c r="T49" s="33">
        <v>0</v>
      </c>
      <c r="U49" s="33" t="s">
        <v>323</v>
      </c>
      <c r="V49" s="33" t="s">
        <v>324</v>
      </c>
      <c r="W49" s="33" t="s">
        <v>325</v>
      </c>
      <c r="X49" s="33"/>
      <c r="Y49" s="33"/>
      <c r="Z49" s="33"/>
      <c r="AA49" s="33">
        <v>1.46434081232267E+24</v>
      </c>
      <c r="AB49" s="33" t="s">
        <v>46</v>
      </c>
    </row>
    <row r="50" spans="1:28" x14ac:dyDescent="0.25">
      <c r="A50" s="33">
        <v>14644133363</v>
      </c>
      <c r="B50" s="34">
        <v>46122.012430555558</v>
      </c>
      <c r="C50" s="33" t="s">
        <v>329</v>
      </c>
      <c r="D50" s="33" t="s">
        <v>330</v>
      </c>
      <c r="E50" s="33" t="s">
        <v>331</v>
      </c>
      <c r="F50" s="33"/>
      <c r="G50" s="33" t="s">
        <v>52</v>
      </c>
      <c r="H50" s="33" t="s">
        <v>53</v>
      </c>
      <c r="I50" s="33" t="s">
        <v>36</v>
      </c>
      <c r="J50" s="33" t="s">
        <v>37</v>
      </c>
      <c r="K50" s="33">
        <v>1985023781566</v>
      </c>
      <c r="L50" s="35">
        <v>46136</v>
      </c>
      <c r="M50" s="36">
        <v>0.4375</v>
      </c>
      <c r="N50" s="33" t="s">
        <v>41</v>
      </c>
      <c r="O50" s="33" t="s">
        <v>42</v>
      </c>
      <c r="P50" s="33">
        <v>1</v>
      </c>
      <c r="Q50" s="33"/>
      <c r="R50" s="33" t="s">
        <v>176</v>
      </c>
      <c r="S50" s="33" t="s">
        <v>44</v>
      </c>
      <c r="T50" s="33">
        <v>0</v>
      </c>
      <c r="U50" s="33" t="s">
        <v>329</v>
      </c>
      <c r="V50" s="33" t="s">
        <v>330</v>
      </c>
      <c r="W50" s="33" t="s">
        <v>331</v>
      </c>
      <c r="X50" s="33"/>
      <c r="Y50" s="33"/>
      <c r="Z50" s="33"/>
      <c r="AA50" s="33">
        <v>1.4644133363226701E+24</v>
      </c>
      <c r="AB50" s="33" t="s">
        <v>46</v>
      </c>
    </row>
    <row r="51" spans="1:28" x14ac:dyDescent="0.25">
      <c r="A51" s="33">
        <v>14646344513</v>
      </c>
      <c r="B51" s="34">
        <v>46122.362708333334</v>
      </c>
      <c r="C51" s="33" t="s">
        <v>335</v>
      </c>
      <c r="D51" s="33" t="s">
        <v>336</v>
      </c>
      <c r="E51" s="33" t="s">
        <v>155</v>
      </c>
      <c r="F51" s="33"/>
      <c r="G51" s="33" t="s">
        <v>52</v>
      </c>
      <c r="H51" s="33" t="s">
        <v>53</v>
      </c>
      <c r="I51" s="33" t="s">
        <v>36</v>
      </c>
      <c r="J51" s="33" t="s">
        <v>37</v>
      </c>
      <c r="K51" s="33">
        <v>1985023781566</v>
      </c>
      <c r="L51" s="35">
        <v>46136</v>
      </c>
      <c r="M51" s="36">
        <v>0.4375</v>
      </c>
      <c r="N51" s="33" t="s">
        <v>41</v>
      </c>
      <c r="O51" s="33" t="s">
        <v>42</v>
      </c>
      <c r="P51" s="33">
        <v>1</v>
      </c>
      <c r="Q51" s="33"/>
      <c r="R51" s="33" t="s">
        <v>54</v>
      </c>
      <c r="S51" s="33" t="s">
        <v>44</v>
      </c>
      <c r="T51" s="33">
        <v>0</v>
      </c>
      <c r="U51" s="33" t="s">
        <v>335</v>
      </c>
      <c r="V51" s="33" t="s">
        <v>336</v>
      </c>
      <c r="W51" s="33" t="s">
        <v>337</v>
      </c>
      <c r="X51" s="33"/>
      <c r="Y51" s="33"/>
      <c r="Z51" s="33"/>
      <c r="AA51" s="33">
        <v>1.46463445132267E+24</v>
      </c>
      <c r="AB51" s="33" t="s">
        <v>46</v>
      </c>
    </row>
    <row r="52" spans="1:28" x14ac:dyDescent="0.25">
      <c r="A52" s="33">
        <v>14646473443</v>
      </c>
      <c r="B52" s="34">
        <v>46122.376087962963</v>
      </c>
      <c r="C52" s="33" t="s">
        <v>341</v>
      </c>
      <c r="D52" s="33" t="s">
        <v>342</v>
      </c>
      <c r="E52" s="33" t="s">
        <v>343</v>
      </c>
      <c r="F52" s="33"/>
      <c r="G52" s="33" t="s">
        <v>52</v>
      </c>
      <c r="H52" s="33" t="s">
        <v>53</v>
      </c>
      <c r="I52" s="33" t="s">
        <v>36</v>
      </c>
      <c r="J52" s="33" t="s">
        <v>37</v>
      </c>
      <c r="K52" s="33">
        <v>1985023781566</v>
      </c>
      <c r="L52" s="35">
        <v>46136</v>
      </c>
      <c r="M52" s="36">
        <v>0.4375</v>
      </c>
      <c r="N52" s="33" t="s">
        <v>41</v>
      </c>
      <c r="O52" s="33" t="s">
        <v>42</v>
      </c>
      <c r="P52" s="33">
        <v>1</v>
      </c>
      <c r="Q52" s="33"/>
      <c r="R52" s="33" t="s">
        <v>54</v>
      </c>
      <c r="S52" s="33" t="s">
        <v>44</v>
      </c>
      <c r="T52" s="33">
        <v>0</v>
      </c>
      <c r="U52" s="33" t="s">
        <v>341</v>
      </c>
      <c r="V52" s="33" t="s">
        <v>342</v>
      </c>
      <c r="W52" s="33" t="s">
        <v>343</v>
      </c>
      <c r="X52" s="33"/>
      <c r="Y52" s="33"/>
      <c r="Z52" s="33"/>
      <c r="AA52" s="33">
        <v>1.46464734432267E+24</v>
      </c>
      <c r="AB52" s="33" t="s">
        <v>46</v>
      </c>
    </row>
    <row r="53" spans="1:28" x14ac:dyDescent="0.25">
      <c r="A53" s="33">
        <v>14647319883</v>
      </c>
      <c r="B53" s="34">
        <v>46122.456736111111</v>
      </c>
      <c r="C53" s="33" t="s">
        <v>347</v>
      </c>
      <c r="D53" s="33" t="s">
        <v>348</v>
      </c>
      <c r="E53" s="33" t="s">
        <v>349</v>
      </c>
      <c r="F53" s="33"/>
      <c r="G53" s="33" t="s">
        <v>52</v>
      </c>
      <c r="H53" s="33" t="s">
        <v>53</v>
      </c>
      <c r="I53" s="33" t="s">
        <v>36</v>
      </c>
      <c r="J53" s="33" t="s">
        <v>37</v>
      </c>
      <c r="K53" s="33">
        <v>1985023781566</v>
      </c>
      <c r="L53" s="35">
        <v>46136</v>
      </c>
      <c r="M53" s="36">
        <v>0.4375</v>
      </c>
      <c r="N53" s="33" t="s">
        <v>41</v>
      </c>
      <c r="O53" s="33" t="s">
        <v>42</v>
      </c>
      <c r="P53" s="33">
        <v>1</v>
      </c>
      <c r="Q53" s="33"/>
      <c r="R53" s="33" t="s">
        <v>176</v>
      </c>
      <c r="S53" s="33" t="s">
        <v>44</v>
      </c>
      <c r="T53" s="33">
        <v>0</v>
      </c>
      <c r="U53" s="33" t="s">
        <v>347</v>
      </c>
      <c r="V53" s="33" t="s">
        <v>348</v>
      </c>
      <c r="W53" s="33" t="s">
        <v>349</v>
      </c>
      <c r="X53" s="33"/>
      <c r="Y53" s="33"/>
      <c r="Z53" s="33"/>
      <c r="AA53" s="33">
        <v>1.46473198832267E+24</v>
      </c>
      <c r="AB53" s="33" t="s">
        <v>46</v>
      </c>
    </row>
    <row r="54" spans="1:28" x14ac:dyDescent="0.25">
      <c r="A54" s="33">
        <v>14647319883</v>
      </c>
      <c r="B54" s="34">
        <v>46122.456736111111</v>
      </c>
      <c r="C54" s="33" t="s">
        <v>351</v>
      </c>
      <c r="D54" s="33" t="s">
        <v>352</v>
      </c>
      <c r="E54" s="33" t="s">
        <v>353</v>
      </c>
      <c r="F54" s="33"/>
      <c r="G54" s="33" t="s">
        <v>52</v>
      </c>
      <c r="H54" s="33" t="s">
        <v>53</v>
      </c>
      <c r="I54" s="33" t="s">
        <v>36</v>
      </c>
      <c r="J54" s="33" t="s">
        <v>37</v>
      </c>
      <c r="K54" s="33">
        <v>1985023781566</v>
      </c>
      <c r="L54" s="35">
        <v>46136</v>
      </c>
      <c r="M54" s="36">
        <v>0.4375</v>
      </c>
      <c r="N54" s="33" t="s">
        <v>41</v>
      </c>
      <c r="O54" s="33" t="s">
        <v>42</v>
      </c>
      <c r="P54" s="33">
        <v>1</v>
      </c>
      <c r="Q54" s="33"/>
      <c r="R54" s="33" t="s">
        <v>176</v>
      </c>
      <c r="S54" s="33" t="s">
        <v>44</v>
      </c>
      <c r="T54" s="33">
        <v>0</v>
      </c>
      <c r="U54" s="33" t="s">
        <v>347</v>
      </c>
      <c r="V54" s="33" t="s">
        <v>348</v>
      </c>
      <c r="W54" s="33" t="s">
        <v>349</v>
      </c>
      <c r="X54" s="33"/>
      <c r="Y54" s="33"/>
      <c r="Z54" s="33"/>
      <c r="AA54" s="33">
        <v>1.46473198832267E+24</v>
      </c>
      <c r="AB54" s="33" t="s">
        <v>46</v>
      </c>
    </row>
    <row r="55" spans="1:28" x14ac:dyDescent="0.25">
      <c r="A55" s="33">
        <v>14647360163</v>
      </c>
      <c r="B55" s="34">
        <v>46122.459594907406</v>
      </c>
      <c r="C55" s="33" t="s">
        <v>357</v>
      </c>
      <c r="D55" s="33" t="s">
        <v>358</v>
      </c>
      <c r="E55" s="33" t="s">
        <v>359</v>
      </c>
      <c r="F55" s="33"/>
      <c r="G55" s="33" t="s">
        <v>360</v>
      </c>
      <c r="H55" s="33" t="s">
        <v>53</v>
      </c>
      <c r="I55" s="33" t="s">
        <v>36</v>
      </c>
      <c r="J55" s="33" t="s">
        <v>37</v>
      </c>
      <c r="K55" s="33">
        <v>1985023781566</v>
      </c>
      <c r="L55" s="35">
        <v>46136</v>
      </c>
      <c r="M55" s="36">
        <v>0.4375</v>
      </c>
      <c r="N55" s="33" t="s">
        <v>41</v>
      </c>
      <c r="O55" s="33" t="s">
        <v>42</v>
      </c>
      <c r="P55" s="33">
        <v>1</v>
      </c>
      <c r="Q55" s="33"/>
      <c r="R55" s="33" t="s">
        <v>43</v>
      </c>
      <c r="S55" s="33" t="s">
        <v>44</v>
      </c>
      <c r="T55" s="33">
        <v>25</v>
      </c>
      <c r="U55" s="33" t="s">
        <v>357</v>
      </c>
      <c r="V55" s="33" t="s">
        <v>358</v>
      </c>
      <c r="W55" s="33" t="s">
        <v>359</v>
      </c>
      <c r="X55" s="33"/>
      <c r="Y55" s="33"/>
      <c r="Z55" s="33"/>
      <c r="AA55" s="33">
        <v>1.4647360163226699E+24</v>
      </c>
      <c r="AB55" s="33" t="s">
        <v>46</v>
      </c>
    </row>
    <row r="56" spans="1:28" x14ac:dyDescent="0.25">
      <c r="A56" s="33">
        <v>14647360163</v>
      </c>
      <c r="B56" s="34">
        <v>46122.459594907406</v>
      </c>
      <c r="C56" s="33" t="s">
        <v>190</v>
      </c>
      <c r="D56" s="33" t="s">
        <v>362</v>
      </c>
      <c r="E56" s="33" t="s">
        <v>363</v>
      </c>
      <c r="F56" s="33"/>
      <c r="G56" s="33" t="s">
        <v>360</v>
      </c>
      <c r="H56" s="33" t="s">
        <v>53</v>
      </c>
      <c r="I56" s="33" t="s">
        <v>36</v>
      </c>
      <c r="J56" s="33" t="s">
        <v>37</v>
      </c>
      <c r="K56" s="33">
        <v>1985023781566</v>
      </c>
      <c r="L56" s="35">
        <v>46136</v>
      </c>
      <c r="M56" s="36">
        <v>0.4375</v>
      </c>
      <c r="N56" s="33" t="s">
        <v>41</v>
      </c>
      <c r="O56" s="33" t="s">
        <v>42</v>
      </c>
      <c r="P56" s="33">
        <v>1</v>
      </c>
      <c r="Q56" s="33"/>
      <c r="R56" s="33" t="s">
        <v>43</v>
      </c>
      <c r="S56" s="33" t="s">
        <v>44</v>
      </c>
      <c r="T56" s="33">
        <v>25</v>
      </c>
      <c r="U56" s="33" t="s">
        <v>357</v>
      </c>
      <c r="V56" s="33" t="s">
        <v>358</v>
      </c>
      <c r="W56" s="33" t="s">
        <v>359</v>
      </c>
      <c r="X56" s="33"/>
      <c r="Y56" s="33"/>
      <c r="Z56" s="33"/>
      <c r="AA56" s="33">
        <v>1.4647360163226699E+24</v>
      </c>
      <c r="AB56" s="33" t="s">
        <v>46</v>
      </c>
    </row>
    <row r="57" spans="1:28" x14ac:dyDescent="0.25">
      <c r="A57" s="33">
        <v>14647865643</v>
      </c>
      <c r="B57" s="34">
        <v>46122.501770833333</v>
      </c>
      <c r="C57" s="33" t="s">
        <v>367</v>
      </c>
      <c r="D57" s="33" t="s">
        <v>368</v>
      </c>
      <c r="E57" s="33" t="s">
        <v>369</v>
      </c>
      <c r="F57" s="33"/>
      <c r="G57" s="33" t="s">
        <v>164</v>
      </c>
      <c r="H57" s="33" t="s">
        <v>53</v>
      </c>
      <c r="I57" s="33" t="s">
        <v>36</v>
      </c>
      <c r="J57" s="33" t="s">
        <v>37</v>
      </c>
      <c r="K57" s="33">
        <v>1985023781566</v>
      </c>
      <c r="L57" s="35">
        <v>46136</v>
      </c>
      <c r="M57" s="36">
        <v>0.4375</v>
      </c>
      <c r="N57" s="33" t="s">
        <v>41</v>
      </c>
      <c r="O57" s="33" t="s">
        <v>42</v>
      </c>
      <c r="P57" s="33">
        <v>1</v>
      </c>
      <c r="Q57" s="33"/>
      <c r="R57" s="33" t="s">
        <v>54</v>
      </c>
      <c r="S57" s="33" t="s">
        <v>44</v>
      </c>
      <c r="T57" s="33">
        <v>0</v>
      </c>
      <c r="U57" s="33" t="s">
        <v>367</v>
      </c>
      <c r="V57" s="33" t="s">
        <v>368</v>
      </c>
      <c r="W57" s="33" t="s">
        <v>369</v>
      </c>
      <c r="X57" s="33"/>
      <c r="Y57" s="33"/>
      <c r="Z57" s="33"/>
      <c r="AA57" s="33">
        <v>1.46478656432267E+24</v>
      </c>
      <c r="AB57" s="33" t="s">
        <v>46</v>
      </c>
    </row>
    <row r="58" spans="1:28" x14ac:dyDescent="0.25">
      <c r="A58" s="33">
        <v>14648578863</v>
      </c>
      <c r="B58" s="34">
        <v>46122.561469907407</v>
      </c>
      <c r="C58" s="33" t="s">
        <v>373</v>
      </c>
      <c r="D58" s="33" t="s">
        <v>374</v>
      </c>
      <c r="E58" s="33" t="s">
        <v>375</v>
      </c>
      <c r="F58" s="33"/>
      <c r="G58" s="33" t="s">
        <v>376</v>
      </c>
      <c r="H58" s="33" t="s">
        <v>53</v>
      </c>
      <c r="I58" s="33" t="s">
        <v>36</v>
      </c>
      <c r="J58" s="33" t="s">
        <v>37</v>
      </c>
      <c r="K58" s="33">
        <v>1985023781566</v>
      </c>
      <c r="L58" s="35">
        <v>46136</v>
      </c>
      <c r="M58" s="36">
        <v>0.4375</v>
      </c>
      <c r="N58" s="33" t="s">
        <v>41</v>
      </c>
      <c r="O58" s="33" t="s">
        <v>42</v>
      </c>
      <c r="P58" s="33">
        <v>1</v>
      </c>
      <c r="Q58" s="33"/>
      <c r="R58" s="33" t="s">
        <v>176</v>
      </c>
      <c r="S58" s="33" t="s">
        <v>44</v>
      </c>
      <c r="T58" s="33">
        <v>0</v>
      </c>
      <c r="U58" s="33" t="s">
        <v>373</v>
      </c>
      <c r="V58" s="33" t="s">
        <v>374</v>
      </c>
      <c r="W58" s="33" t="s">
        <v>375</v>
      </c>
      <c r="X58" s="33"/>
      <c r="Y58" s="33"/>
      <c r="Z58" s="33"/>
      <c r="AA58" s="33">
        <v>1.46485788632267E+24</v>
      </c>
      <c r="AB58" s="33" t="s">
        <v>46</v>
      </c>
    </row>
    <row r="59" spans="1:28" x14ac:dyDescent="0.25">
      <c r="A59" s="33">
        <v>14648682173</v>
      </c>
      <c r="B59" s="34">
        <v>46122.570185185185</v>
      </c>
      <c r="C59" s="33" t="s">
        <v>380</v>
      </c>
      <c r="D59" s="33" t="s">
        <v>381</v>
      </c>
      <c r="E59" s="33" t="s">
        <v>155</v>
      </c>
      <c r="F59" s="33"/>
      <c r="G59" s="33" t="s">
        <v>175</v>
      </c>
      <c r="H59" s="33" t="s">
        <v>53</v>
      </c>
      <c r="I59" s="33" t="s">
        <v>36</v>
      </c>
      <c r="J59" s="33" t="s">
        <v>37</v>
      </c>
      <c r="K59" s="33">
        <v>1985023781566</v>
      </c>
      <c r="L59" s="35">
        <v>46136</v>
      </c>
      <c r="M59" s="36">
        <v>0.4375</v>
      </c>
      <c r="N59" s="33" t="s">
        <v>41</v>
      </c>
      <c r="O59" s="33" t="s">
        <v>42</v>
      </c>
      <c r="P59" s="33">
        <v>1</v>
      </c>
      <c r="Q59" s="33"/>
      <c r="R59" s="33" t="s">
        <v>176</v>
      </c>
      <c r="S59" s="33" t="s">
        <v>44</v>
      </c>
      <c r="T59" s="33">
        <v>0</v>
      </c>
      <c r="U59" s="33" t="s">
        <v>380</v>
      </c>
      <c r="V59" s="33" t="s">
        <v>381</v>
      </c>
      <c r="W59" s="33" t="s">
        <v>382</v>
      </c>
      <c r="X59" s="33"/>
      <c r="Y59" s="33"/>
      <c r="Z59" s="33"/>
      <c r="AA59" s="33">
        <v>1.4648682173226699E+24</v>
      </c>
      <c r="AB59" s="33" t="s">
        <v>46</v>
      </c>
    </row>
    <row r="60" spans="1:28" x14ac:dyDescent="0.25">
      <c r="A60" s="47">
        <v>14648682173</v>
      </c>
      <c r="B60" s="48">
        <v>46122.570185185185</v>
      </c>
      <c r="C60" s="47" t="s">
        <v>155</v>
      </c>
      <c r="D60" s="47" t="s">
        <v>155</v>
      </c>
      <c r="E60" s="47" t="s">
        <v>155</v>
      </c>
      <c r="F60" s="47"/>
      <c r="G60" s="47" t="s">
        <v>175</v>
      </c>
      <c r="H60" s="47" t="s">
        <v>53</v>
      </c>
      <c r="I60" s="47" t="s">
        <v>36</v>
      </c>
      <c r="J60" s="47" t="s">
        <v>37</v>
      </c>
      <c r="K60" s="47">
        <v>1985023781566</v>
      </c>
      <c r="L60" s="49">
        <v>46136</v>
      </c>
      <c r="M60" s="50">
        <v>0.4375</v>
      </c>
      <c r="N60" s="47" t="s">
        <v>41</v>
      </c>
      <c r="O60" s="47" t="s">
        <v>42</v>
      </c>
      <c r="P60" s="47">
        <v>1</v>
      </c>
      <c r="Q60" s="47"/>
      <c r="R60" s="47" t="s">
        <v>176</v>
      </c>
      <c r="S60" s="47" t="s">
        <v>44</v>
      </c>
      <c r="T60" s="47">
        <v>0</v>
      </c>
      <c r="U60" s="47" t="s">
        <v>380</v>
      </c>
      <c r="V60" s="47" t="s">
        <v>381</v>
      </c>
      <c r="W60" s="47" t="s">
        <v>382</v>
      </c>
      <c r="X60" s="47"/>
      <c r="Y60" s="47"/>
      <c r="Z60" s="47"/>
      <c r="AA60" s="47">
        <v>1.4648682173226699E+24</v>
      </c>
      <c r="AB60" s="47" t="s">
        <v>46</v>
      </c>
    </row>
    <row r="61" spans="1:28" x14ac:dyDescent="0.25">
      <c r="A61" s="47">
        <v>14648682173</v>
      </c>
      <c r="B61" s="48">
        <v>46122.570185185185</v>
      </c>
      <c r="C61" s="47" t="s">
        <v>155</v>
      </c>
      <c r="D61" s="47" t="s">
        <v>155</v>
      </c>
      <c r="E61" s="47" t="s">
        <v>155</v>
      </c>
      <c r="F61" s="47"/>
      <c r="G61" s="47" t="s">
        <v>175</v>
      </c>
      <c r="H61" s="47" t="s">
        <v>53</v>
      </c>
      <c r="I61" s="47" t="s">
        <v>36</v>
      </c>
      <c r="J61" s="47" t="s">
        <v>37</v>
      </c>
      <c r="K61" s="47">
        <v>1985023781566</v>
      </c>
      <c r="L61" s="49">
        <v>46136</v>
      </c>
      <c r="M61" s="50">
        <v>0.4375</v>
      </c>
      <c r="N61" s="47" t="s">
        <v>41</v>
      </c>
      <c r="O61" s="47" t="s">
        <v>42</v>
      </c>
      <c r="P61" s="47">
        <v>1</v>
      </c>
      <c r="Q61" s="47"/>
      <c r="R61" s="47" t="s">
        <v>176</v>
      </c>
      <c r="S61" s="47" t="s">
        <v>44</v>
      </c>
      <c r="T61" s="47">
        <v>0</v>
      </c>
      <c r="U61" s="47" t="s">
        <v>380</v>
      </c>
      <c r="V61" s="47" t="s">
        <v>381</v>
      </c>
      <c r="W61" s="47" t="s">
        <v>382</v>
      </c>
      <c r="X61" s="47"/>
      <c r="Y61" s="47"/>
      <c r="Z61" s="47"/>
      <c r="AA61" s="47">
        <v>1.4648682173226699E+24</v>
      </c>
      <c r="AB61" s="47" t="s">
        <v>46</v>
      </c>
    </row>
    <row r="62" spans="1:28" x14ac:dyDescent="0.25">
      <c r="A62" s="47">
        <v>14648682173</v>
      </c>
      <c r="B62" s="48">
        <v>46122.570185185185</v>
      </c>
      <c r="C62" s="47" t="s">
        <v>155</v>
      </c>
      <c r="D62" s="47" t="s">
        <v>155</v>
      </c>
      <c r="E62" s="47" t="s">
        <v>155</v>
      </c>
      <c r="F62" s="47"/>
      <c r="G62" s="47" t="s">
        <v>175</v>
      </c>
      <c r="H62" s="47" t="s">
        <v>53</v>
      </c>
      <c r="I62" s="47" t="s">
        <v>36</v>
      </c>
      <c r="J62" s="47" t="s">
        <v>37</v>
      </c>
      <c r="K62" s="47">
        <v>1985023781566</v>
      </c>
      <c r="L62" s="49">
        <v>46136</v>
      </c>
      <c r="M62" s="50">
        <v>0.4375</v>
      </c>
      <c r="N62" s="47" t="s">
        <v>41</v>
      </c>
      <c r="O62" s="47" t="s">
        <v>42</v>
      </c>
      <c r="P62" s="47">
        <v>1</v>
      </c>
      <c r="Q62" s="47"/>
      <c r="R62" s="47" t="s">
        <v>176</v>
      </c>
      <c r="S62" s="47" t="s">
        <v>44</v>
      </c>
      <c r="T62" s="47">
        <v>0</v>
      </c>
      <c r="U62" s="47" t="s">
        <v>380</v>
      </c>
      <c r="V62" s="47" t="s">
        <v>381</v>
      </c>
      <c r="W62" s="47" t="s">
        <v>382</v>
      </c>
      <c r="X62" s="47"/>
      <c r="Y62" s="47"/>
      <c r="Z62" s="47"/>
      <c r="AA62" s="47">
        <v>1.4648682173226699E+24</v>
      </c>
      <c r="AB62" s="47" t="s">
        <v>46</v>
      </c>
    </row>
    <row r="63" spans="1:28" x14ac:dyDescent="0.25">
      <c r="A63" s="33">
        <v>14649420423</v>
      </c>
      <c r="B63" s="34">
        <v>46122.630439814813</v>
      </c>
      <c r="C63" s="33" t="s">
        <v>389</v>
      </c>
      <c r="D63" s="33" t="s">
        <v>390</v>
      </c>
      <c r="E63" s="33" t="s">
        <v>391</v>
      </c>
      <c r="F63" s="33"/>
      <c r="G63" s="33" t="s">
        <v>52</v>
      </c>
      <c r="H63" s="33" t="s">
        <v>53</v>
      </c>
      <c r="I63" s="33" t="s">
        <v>36</v>
      </c>
      <c r="J63" s="33" t="s">
        <v>37</v>
      </c>
      <c r="K63" s="33">
        <v>1985023781566</v>
      </c>
      <c r="L63" s="35">
        <v>46136</v>
      </c>
      <c r="M63" s="36">
        <v>0.4375</v>
      </c>
      <c r="N63" s="33" t="s">
        <v>41</v>
      </c>
      <c r="O63" s="33" t="s">
        <v>42</v>
      </c>
      <c r="P63" s="33">
        <v>1</v>
      </c>
      <c r="Q63" s="33"/>
      <c r="R63" s="33" t="s">
        <v>43</v>
      </c>
      <c r="S63" s="33" t="s">
        <v>44</v>
      </c>
      <c r="T63" s="33">
        <v>25</v>
      </c>
      <c r="U63" s="33" t="s">
        <v>389</v>
      </c>
      <c r="V63" s="33" t="s">
        <v>390</v>
      </c>
      <c r="W63" s="33" t="s">
        <v>391</v>
      </c>
      <c r="X63" s="33"/>
      <c r="Y63" s="33"/>
      <c r="Z63" s="33"/>
      <c r="AA63" s="33">
        <v>1.4649420423226699E+24</v>
      </c>
      <c r="AB63" s="33" t="s">
        <v>46</v>
      </c>
    </row>
    <row r="64" spans="1:28" x14ac:dyDescent="0.25">
      <c r="A64" s="47">
        <v>14650005793</v>
      </c>
      <c r="B64" s="48">
        <v>46122.684953703705</v>
      </c>
      <c r="C64" s="47" t="s">
        <v>155</v>
      </c>
      <c r="D64" s="47" t="s">
        <v>155</v>
      </c>
      <c r="E64" s="47" t="s">
        <v>155</v>
      </c>
      <c r="F64" s="47"/>
      <c r="G64" s="47" t="s">
        <v>52</v>
      </c>
      <c r="H64" s="47" t="s">
        <v>53</v>
      </c>
      <c r="I64" s="47" t="s">
        <v>36</v>
      </c>
      <c r="J64" s="47" t="s">
        <v>37</v>
      </c>
      <c r="K64" s="47">
        <v>1985023781566</v>
      </c>
      <c r="L64" s="49">
        <v>46136</v>
      </c>
      <c r="M64" s="50">
        <v>0.4375</v>
      </c>
      <c r="N64" s="47" t="s">
        <v>41</v>
      </c>
      <c r="O64" s="47" t="s">
        <v>42</v>
      </c>
      <c r="P64" s="47">
        <v>1</v>
      </c>
      <c r="Q64" s="47"/>
      <c r="R64" s="47" t="s">
        <v>176</v>
      </c>
      <c r="S64" s="47" t="s">
        <v>44</v>
      </c>
      <c r="T64" s="47">
        <v>0</v>
      </c>
      <c r="U64" s="47" t="s">
        <v>395</v>
      </c>
      <c r="V64" s="47" t="s">
        <v>396</v>
      </c>
      <c r="W64" s="47" t="s">
        <v>397</v>
      </c>
      <c r="X64" s="47"/>
      <c r="Y64" s="47"/>
      <c r="Z64" s="47"/>
      <c r="AA64" s="47">
        <v>1.4650005793226699E+24</v>
      </c>
      <c r="AB64" s="47" t="s">
        <v>46</v>
      </c>
    </row>
    <row r="65" spans="1:28" x14ac:dyDescent="0.25">
      <c r="A65" s="33">
        <v>14650005793</v>
      </c>
      <c r="B65" s="34">
        <v>46122.684953703705</v>
      </c>
      <c r="C65" s="33" t="s">
        <v>395</v>
      </c>
      <c r="D65" s="33" t="s">
        <v>396</v>
      </c>
      <c r="E65" s="33" t="s">
        <v>397</v>
      </c>
      <c r="F65" s="33"/>
      <c r="G65" s="33" t="s">
        <v>52</v>
      </c>
      <c r="H65" s="33" t="s">
        <v>53</v>
      </c>
      <c r="I65" s="33" t="s">
        <v>36</v>
      </c>
      <c r="J65" s="33" t="s">
        <v>37</v>
      </c>
      <c r="K65" s="33">
        <v>1985023781566</v>
      </c>
      <c r="L65" s="35">
        <v>46136</v>
      </c>
      <c r="M65" s="36">
        <v>0.4375</v>
      </c>
      <c r="N65" s="33" t="s">
        <v>41</v>
      </c>
      <c r="O65" s="33" t="s">
        <v>42</v>
      </c>
      <c r="P65" s="33">
        <v>1</v>
      </c>
      <c r="Q65" s="33"/>
      <c r="R65" s="33" t="s">
        <v>54</v>
      </c>
      <c r="S65" s="33" t="s">
        <v>44</v>
      </c>
      <c r="T65" s="33">
        <v>0</v>
      </c>
      <c r="U65" s="33" t="s">
        <v>395</v>
      </c>
      <c r="V65" s="33" t="s">
        <v>396</v>
      </c>
      <c r="W65" s="33" t="s">
        <v>397</v>
      </c>
      <c r="X65" s="33"/>
      <c r="Y65" s="33"/>
      <c r="Z65" s="33"/>
      <c r="AA65" s="33">
        <v>1.4650005793226699E+24</v>
      </c>
      <c r="AB65" s="33" t="s">
        <v>46</v>
      </c>
    </row>
    <row r="66" spans="1:28" x14ac:dyDescent="0.25">
      <c r="A66" s="33">
        <v>14652492063</v>
      </c>
      <c r="B66" s="34">
        <v>46123.027199074073</v>
      </c>
      <c r="C66" s="33" t="s">
        <v>402</v>
      </c>
      <c r="D66" s="33" t="s">
        <v>403</v>
      </c>
      <c r="E66" s="33" t="s">
        <v>404</v>
      </c>
      <c r="F66" s="33"/>
      <c r="G66" s="33" t="s">
        <v>52</v>
      </c>
      <c r="H66" s="33" t="s">
        <v>53</v>
      </c>
      <c r="I66" s="33" t="s">
        <v>36</v>
      </c>
      <c r="J66" s="33" t="s">
        <v>37</v>
      </c>
      <c r="K66" s="33">
        <v>1985023781566</v>
      </c>
      <c r="L66" s="35">
        <v>46136</v>
      </c>
      <c r="M66" s="36">
        <v>0.4375</v>
      </c>
      <c r="N66" s="33" t="s">
        <v>41</v>
      </c>
      <c r="O66" s="33" t="s">
        <v>42</v>
      </c>
      <c r="P66" s="33">
        <v>1</v>
      </c>
      <c r="Q66" s="33"/>
      <c r="R66" s="33" t="s">
        <v>54</v>
      </c>
      <c r="S66" s="33" t="s">
        <v>44</v>
      </c>
      <c r="T66" s="33">
        <v>0</v>
      </c>
      <c r="U66" s="33" t="s">
        <v>402</v>
      </c>
      <c r="V66" s="33" t="s">
        <v>403</v>
      </c>
      <c r="W66" s="33" t="s">
        <v>404</v>
      </c>
      <c r="X66" s="33"/>
      <c r="Y66" s="33"/>
      <c r="Z66" s="33"/>
      <c r="AA66" s="33">
        <v>1.46524920632267E+24</v>
      </c>
      <c r="AB66" s="33" t="s">
        <v>46</v>
      </c>
    </row>
    <row r="67" spans="1:28" x14ac:dyDescent="0.25">
      <c r="A67" s="33">
        <v>14666174883</v>
      </c>
      <c r="B67" s="34">
        <v>46125.369189814817</v>
      </c>
      <c r="C67" s="33" t="s">
        <v>409</v>
      </c>
      <c r="D67" s="33" t="s">
        <v>410</v>
      </c>
      <c r="E67" s="33" t="s">
        <v>411</v>
      </c>
      <c r="F67" s="33"/>
      <c r="G67" s="33" t="s">
        <v>408</v>
      </c>
      <c r="H67" s="33" t="s">
        <v>53</v>
      </c>
      <c r="I67" s="33" t="s">
        <v>36</v>
      </c>
      <c r="J67" s="33" t="s">
        <v>37</v>
      </c>
      <c r="K67" s="33">
        <v>1985023781566</v>
      </c>
      <c r="L67" s="35">
        <v>46136</v>
      </c>
      <c r="M67" s="36">
        <v>0.4375</v>
      </c>
      <c r="N67" s="33" t="s">
        <v>41</v>
      </c>
      <c r="O67" s="33" t="s">
        <v>42</v>
      </c>
      <c r="P67" s="33">
        <v>1</v>
      </c>
      <c r="Q67" s="33"/>
      <c r="R67" s="33" t="s">
        <v>54</v>
      </c>
      <c r="S67" s="33" t="s">
        <v>44</v>
      </c>
      <c r="T67" s="33">
        <v>0</v>
      </c>
      <c r="U67" s="33" t="s">
        <v>409</v>
      </c>
      <c r="V67" s="33" t="s">
        <v>410</v>
      </c>
      <c r="W67" s="33" t="s">
        <v>411</v>
      </c>
      <c r="X67" s="33"/>
      <c r="Y67" s="33"/>
      <c r="Z67" s="33"/>
      <c r="AA67" s="33">
        <v>1.46661748832267E+24</v>
      </c>
      <c r="AB67" s="33" t="s">
        <v>46</v>
      </c>
    </row>
    <row r="68" spans="1:28" x14ac:dyDescent="0.25">
      <c r="A68" s="47">
        <v>14666871543</v>
      </c>
      <c r="B68" s="48">
        <v>46125.429178240738</v>
      </c>
      <c r="C68" s="47" t="s">
        <v>138</v>
      </c>
      <c r="D68" s="47" t="s">
        <v>139</v>
      </c>
      <c r="E68" s="47" t="s">
        <v>140</v>
      </c>
      <c r="F68" s="47"/>
      <c r="G68" s="47" t="s">
        <v>34</v>
      </c>
      <c r="H68" s="47" t="s">
        <v>35</v>
      </c>
      <c r="I68" s="47" t="s">
        <v>36</v>
      </c>
      <c r="J68" s="47" t="s">
        <v>37</v>
      </c>
      <c r="K68" s="47">
        <v>1985023781566</v>
      </c>
      <c r="L68" s="49">
        <v>46136</v>
      </c>
      <c r="M68" s="50">
        <v>0.4375</v>
      </c>
      <c r="N68" s="47" t="s">
        <v>41</v>
      </c>
      <c r="O68" s="47" t="s">
        <v>42</v>
      </c>
      <c r="P68" s="47">
        <v>1</v>
      </c>
      <c r="Q68" s="47"/>
      <c r="R68" s="47" t="s">
        <v>43</v>
      </c>
      <c r="S68" s="47" t="s">
        <v>44</v>
      </c>
      <c r="T68" s="47">
        <v>0</v>
      </c>
      <c r="U68" s="47" t="s">
        <v>138</v>
      </c>
      <c r="V68" s="47" t="s">
        <v>139</v>
      </c>
      <c r="W68" s="47" t="s">
        <v>140</v>
      </c>
      <c r="X68" s="47"/>
      <c r="Y68" s="47"/>
      <c r="Z68" s="47"/>
      <c r="AA68" s="47">
        <v>1.4666871543226701E+24</v>
      </c>
      <c r="AB68" s="47" t="s">
        <v>46</v>
      </c>
    </row>
    <row r="69" spans="1:28" x14ac:dyDescent="0.25">
      <c r="A69" s="33">
        <v>14667399633</v>
      </c>
      <c r="B69" s="34">
        <v>46125.476261574076</v>
      </c>
      <c r="C69" s="33" t="s">
        <v>418</v>
      </c>
      <c r="D69" s="33" t="s">
        <v>419</v>
      </c>
      <c r="E69" s="33" t="s">
        <v>420</v>
      </c>
      <c r="F69" s="33"/>
      <c r="G69" s="33" t="s">
        <v>421</v>
      </c>
      <c r="H69" s="33" t="s">
        <v>35</v>
      </c>
      <c r="I69" s="33" t="s">
        <v>36</v>
      </c>
      <c r="J69" s="33" t="s">
        <v>37</v>
      </c>
      <c r="K69" s="33">
        <v>1985023781566</v>
      </c>
      <c r="L69" s="35">
        <v>46136</v>
      </c>
      <c r="M69" s="36">
        <v>0.4375</v>
      </c>
      <c r="N69" s="33" t="s">
        <v>41</v>
      </c>
      <c r="O69" s="33" t="s">
        <v>42</v>
      </c>
      <c r="P69" s="33">
        <v>1</v>
      </c>
      <c r="Q69" s="33"/>
      <c r="R69" s="33" t="s">
        <v>142</v>
      </c>
      <c r="S69" s="33" t="s">
        <v>44</v>
      </c>
      <c r="T69" s="33">
        <v>250</v>
      </c>
      <c r="U69" s="33" t="s">
        <v>418</v>
      </c>
      <c r="V69" s="33" t="s">
        <v>419</v>
      </c>
      <c r="W69" s="33" t="s">
        <v>420</v>
      </c>
      <c r="X69" s="33"/>
      <c r="Y69" s="33"/>
      <c r="Z69" s="33"/>
      <c r="AA69" s="33">
        <v>1.4667399633226699E+24</v>
      </c>
      <c r="AB69" s="33" t="s">
        <v>46</v>
      </c>
    </row>
    <row r="70" spans="1:28" x14ac:dyDescent="0.25">
      <c r="A70" s="33">
        <v>14667485963</v>
      </c>
      <c r="B70" s="34">
        <v>46125.483738425923</v>
      </c>
      <c r="C70" s="33" t="s">
        <v>425</v>
      </c>
      <c r="D70" s="33" t="s">
        <v>426</v>
      </c>
      <c r="E70" s="33" t="s">
        <v>427</v>
      </c>
      <c r="F70" s="33"/>
      <c r="G70" s="33" t="s">
        <v>428</v>
      </c>
      <c r="H70" s="33" t="s">
        <v>429</v>
      </c>
      <c r="I70" s="33" t="s">
        <v>36</v>
      </c>
      <c r="J70" s="33" t="s">
        <v>37</v>
      </c>
      <c r="K70" s="33">
        <v>1985023781566</v>
      </c>
      <c r="L70" s="35">
        <v>46136</v>
      </c>
      <c r="M70" s="36">
        <v>0.4375</v>
      </c>
      <c r="N70" s="33" t="s">
        <v>41</v>
      </c>
      <c r="O70" s="33" t="s">
        <v>42</v>
      </c>
      <c r="P70" s="33">
        <v>1</v>
      </c>
      <c r="Q70" s="33"/>
      <c r="R70" s="33" t="s">
        <v>43</v>
      </c>
      <c r="S70" s="33" t="s">
        <v>44</v>
      </c>
      <c r="T70" s="33">
        <v>25</v>
      </c>
      <c r="U70" s="33" t="s">
        <v>425</v>
      </c>
      <c r="V70" s="33" t="s">
        <v>426</v>
      </c>
      <c r="W70" s="33" t="s">
        <v>427</v>
      </c>
      <c r="X70" s="33"/>
      <c r="Y70" s="33"/>
      <c r="Z70" s="33"/>
      <c r="AA70" s="33">
        <v>1.46674859632267E+24</v>
      </c>
      <c r="AB70" s="33" t="s">
        <v>46</v>
      </c>
    </row>
    <row r="71" spans="1:28" x14ac:dyDescent="0.25">
      <c r="A71" s="33">
        <v>14667974013</v>
      </c>
      <c r="B71" s="34">
        <v>46125.525740740741</v>
      </c>
      <c r="C71" s="33" t="s">
        <v>433</v>
      </c>
      <c r="D71" s="33" t="s">
        <v>434</v>
      </c>
      <c r="E71" s="33" t="s">
        <v>435</v>
      </c>
      <c r="F71" s="33"/>
      <c r="G71" s="33" t="s">
        <v>52</v>
      </c>
      <c r="H71" s="33" t="s">
        <v>53</v>
      </c>
      <c r="I71" s="33" t="s">
        <v>36</v>
      </c>
      <c r="J71" s="33" t="s">
        <v>37</v>
      </c>
      <c r="K71" s="33">
        <v>1985023781566</v>
      </c>
      <c r="L71" s="35">
        <v>46136</v>
      </c>
      <c r="M71" s="36">
        <v>0.4375</v>
      </c>
      <c r="N71" s="33" t="s">
        <v>41</v>
      </c>
      <c r="O71" s="33" t="s">
        <v>42</v>
      </c>
      <c r="P71" s="33">
        <v>1</v>
      </c>
      <c r="Q71" s="33"/>
      <c r="R71" s="33" t="s">
        <v>176</v>
      </c>
      <c r="S71" s="33" t="s">
        <v>44</v>
      </c>
      <c r="T71" s="33">
        <v>0</v>
      </c>
      <c r="U71" s="33" t="s">
        <v>433</v>
      </c>
      <c r="V71" s="33" t="s">
        <v>434</v>
      </c>
      <c r="W71" s="33" t="s">
        <v>435</v>
      </c>
      <c r="X71" s="33"/>
      <c r="Y71" s="33"/>
      <c r="Z71" s="33"/>
      <c r="AA71" s="33">
        <v>1.4667974013226699E+24</v>
      </c>
      <c r="AB71" s="33" t="s">
        <v>46</v>
      </c>
    </row>
    <row r="72" spans="1:28" x14ac:dyDescent="0.25">
      <c r="A72" s="33">
        <v>14668961273</v>
      </c>
      <c r="B72" s="34">
        <v>46125.611666666664</v>
      </c>
      <c r="C72" s="33" t="s">
        <v>439</v>
      </c>
      <c r="D72" s="33" t="s">
        <v>440</v>
      </c>
      <c r="E72" s="33" t="s">
        <v>441</v>
      </c>
      <c r="F72" s="33"/>
      <c r="G72" s="33" t="s">
        <v>52</v>
      </c>
      <c r="H72" s="33" t="s">
        <v>53</v>
      </c>
      <c r="I72" s="33" t="s">
        <v>36</v>
      </c>
      <c r="J72" s="33" t="s">
        <v>37</v>
      </c>
      <c r="K72" s="33">
        <v>1985023781566</v>
      </c>
      <c r="L72" s="35">
        <v>46136</v>
      </c>
      <c r="M72" s="36">
        <v>0.4375</v>
      </c>
      <c r="N72" s="33" t="s">
        <v>41</v>
      </c>
      <c r="O72" s="33" t="s">
        <v>42</v>
      </c>
      <c r="P72" s="33">
        <v>1</v>
      </c>
      <c r="Q72" s="33"/>
      <c r="R72" s="33" t="s">
        <v>43</v>
      </c>
      <c r="S72" s="33" t="s">
        <v>44</v>
      </c>
      <c r="T72" s="33">
        <v>25</v>
      </c>
      <c r="U72" s="33" t="s">
        <v>442</v>
      </c>
      <c r="V72" s="33" t="s">
        <v>443</v>
      </c>
      <c r="W72" s="33" t="s">
        <v>238</v>
      </c>
      <c r="X72" s="33"/>
      <c r="Y72" s="33"/>
      <c r="Z72" s="33"/>
      <c r="AA72" s="33">
        <v>1.4668961273226699E+24</v>
      </c>
      <c r="AB72" s="33" t="s">
        <v>46</v>
      </c>
    </row>
    <row r="73" spans="1:28" x14ac:dyDescent="0.25">
      <c r="A73" s="33">
        <v>14668961273</v>
      </c>
      <c r="B73" s="34">
        <v>46125.611666666664</v>
      </c>
      <c r="C73" s="33" t="s">
        <v>445</v>
      </c>
      <c r="D73" s="33" t="s">
        <v>446</v>
      </c>
      <c r="E73" s="33" t="s">
        <v>447</v>
      </c>
      <c r="F73" s="33"/>
      <c r="G73" s="33" t="s">
        <v>52</v>
      </c>
      <c r="H73" s="33" t="s">
        <v>53</v>
      </c>
      <c r="I73" s="33" t="s">
        <v>36</v>
      </c>
      <c r="J73" s="33" t="s">
        <v>37</v>
      </c>
      <c r="K73" s="33">
        <v>1985023781566</v>
      </c>
      <c r="L73" s="35">
        <v>46136</v>
      </c>
      <c r="M73" s="36">
        <v>0.4375</v>
      </c>
      <c r="N73" s="33" t="s">
        <v>41</v>
      </c>
      <c r="O73" s="33" t="s">
        <v>42</v>
      </c>
      <c r="P73" s="33">
        <v>1</v>
      </c>
      <c r="Q73" s="33"/>
      <c r="R73" s="33" t="s">
        <v>43</v>
      </c>
      <c r="S73" s="33" t="s">
        <v>44</v>
      </c>
      <c r="T73" s="33">
        <v>25</v>
      </c>
      <c r="U73" s="33" t="s">
        <v>442</v>
      </c>
      <c r="V73" s="33" t="s">
        <v>443</v>
      </c>
      <c r="W73" s="33" t="s">
        <v>238</v>
      </c>
      <c r="X73" s="33"/>
      <c r="Y73" s="33"/>
      <c r="Z73" s="33"/>
      <c r="AA73" s="33">
        <v>1.4668961273226699E+24</v>
      </c>
      <c r="AB73" s="33" t="s">
        <v>46</v>
      </c>
    </row>
    <row r="74" spans="1:28" x14ac:dyDescent="0.25">
      <c r="A74" s="33">
        <v>14669003023</v>
      </c>
      <c r="B74" s="34">
        <v>46125.615324074075</v>
      </c>
      <c r="C74" s="33" t="s">
        <v>451</v>
      </c>
      <c r="D74" s="33" t="s">
        <v>452</v>
      </c>
      <c r="E74" s="33" t="s">
        <v>453</v>
      </c>
      <c r="F74" s="33"/>
      <c r="G74" s="33" t="s">
        <v>52</v>
      </c>
      <c r="H74" s="33" t="s">
        <v>53</v>
      </c>
      <c r="I74" s="33" t="s">
        <v>36</v>
      </c>
      <c r="J74" s="33" t="s">
        <v>37</v>
      </c>
      <c r="K74" s="33">
        <v>1985023781566</v>
      </c>
      <c r="L74" s="35">
        <v>46136</v>
      </c>
      <c r="M74" s="36">
        <v>0.4375</v>
      </c>
      <c r="N74" s="33" t="s">
        <v>41</v>
      </c>
      <c r="O74" s="33" t="s">
        <v>42</v>
      </c>
      <c r="P74" s="33">
        <v>1</v>
      </c>
      <c r="Q74" s="33"/>
      <c r="R74" s="33" t="s">
        <v>43</v>
      </c>
      <c r="S74" s="33" t="s">
        <v>44</v>
      </c>
      <c r="T74" s="33">
        <v>25</v>
      </c>
      <c r="U74" s="33" t="s">
        <v>451</v>
      </c>
      <c r="V74" s="33" t="s">
        <v>452</v>
      </c>
      <c r="W74" s="33" t="s">
        <v>453</v>
      </c>
      <c r="X74" s="33"/>
      <c r="Y74" s="33"/>
      <c r="Z74" s="33"/>
      <c r="AA74" s="33">
        <v>1.4669003023226699E+24</v>
      </c>
      <c r="AB74" s="33" t="s">
        <v>46</v>
      </c>
    </row>
    <row r="75" spans="1:28" x14ac:dyDescent="0.25">
      <c r="A75" s="33">
        <v>14669453853</v>
      </c>
      <c r="B75" s="34">
        <v>46125.656319444446</v>
      </c>
      <c r="C75" s="33" t="s">
        <v>457</v>
      </c>
      <c r="D75" s="33" t="s">
        <v>458</v>
      </c>
      <c r="E75" s="33" t="s">
        <v>155</v>
      </c>
      <c r="F75" s="33"/>
      <c r="G75" s="33" t="s">
        <v>52</v>
      </c>
      <c r="H75" s="33" t="s">
        <v>53</v>
      </c>
      <c r="I75" s="33" t="s">
        <v>36</v>
      </c>
      <c r="J75" s="33" t="s">
        <v>37</v>
      </c>
      <c r="K75" s="33">
        <v>1985023781566</v>
      </c>
      <c r="L75" s="35">
        <v>46136</v>
      </c>
      <c r="M75" s="36">
        <v>0.4375</v>
      </c>
      <c r="N75" s="33" t="s">
        <v>41</v>
      </c>
      <c r="O75" s="33" t="s">
        <v>42</v>
      </c>
      <c r="P75" s="33">
        <v>1</v>
      </c>
      <c r="Q75" s="33"/>
      <c r="R75" s="33" t="s">
        <v>176</v>
      </c>
      <c r="S75" s="33" t="s">
        <v>44</v>
      </c>
      <c r="T75" s="33">
        <v>0</v>
      </c>
      <c r="U75" s="33" t="s">
        <v>457</v>
      </c>
      <c r="V75" s="33" t="s">
        <v>458</v>
      </c>
      <c r="W75" s="33" t="s">
        <v>459</v>
      </c>
      <c r="X75" s="33"/>
      <c r="Y75" s="33"/>
      <c r="Z75" s="33"/>
      <c r="AA75" s="33">
        <v>1.46694538532267E+24</v>
      </c>
      <c r="AB75" s="33" t="s">
        <v>46</v>
      </c>
    </row>
    <row r="76" spans="1:28" x14ac:dyDescent="0.25">
      <c r="A76" s="33">
        <v>14669709293</v>
      </c>
      <c r="B76" s="34">
        <v>46125.681145833332</v>
      </c>
      <c r="C76" s="33" t="s">
        <v>463</v>
      </c>
      <c r="D76" s="33" t="s">
        <v>464</v>
      </c>
      <c r="E76" s="33" t="s">
        <v>465</v>
      </c>
      <c r="F76" s="33"/>
      <c r="G76" s="33" t="s">
        <v>52</v>
      </c>
      <c r="H76" s="33" t="s">
        <v>53</v>
      </c>
      <c r="I76" s="33" t="s">
        <v>36</v>
      </c>
      <c r="J76" s="33" t="s">
        <v>37</v>
      </c>
      <c r="K76" s="33">
        <v>1985023781566</v>
      </c>
      <c r="L76" s="35">
        <v>46136</v>
      </c>
      <c r="M76" s="36">
        <v>0.4375</v>
      </c>
      <c r="N76" s="33" t="s">
        <v>41</v>
      </c>
      <c r="O76" s="33" t="s">
        <v>42</v>
      </c>
      <c r="P76" s="33">
        <v>1</v>
      </c>
      <c r="Q76" s="33"/>
      <c r="R76" s="33" t="s">
        <v>54</v>
      </c>
      <c r="S76" s="33" t="s">
        <v>44</v>
      </c>
      <c r="T76" s="33">
        <v>0</v>
      </c>
      <c r="U76" s="33" t="s">
        <v>463</v>
      </c>
      <c r="V76" s="33" t="s">
        <v>464</v>
      </c>
      <c r="W76" s="33" t="s">
        <v>465</v>
      </c>
      <c r="X76" s="33"/>
      <c r="Y76" s="33"/>
      <c r="Z76" s="33"/>
      <c r="AA76" s="33">
        <v>1.4669709293226701E+24</v>
      </c>
      <c r="AB76" s="33" t="s">
        <v>46</v>
      </c>
    </row>
    <row r="77" spans="1:28" x14ac:dyDescent="0.25">
      <c r="A77" s="33">
        <v>14674224243</v>
      </c>
      <c r="B77" s="34">
        <v>46126.339791666665</v>
      </c>
      <c r="C77" s="33" t="s">
        <v>469</v>
      </c>
      <c r="D77" s="33" t="s">
        <v>470</v>
      </c>
      <c r="E77" s="33" t="s">
        <v>471</v>
      </c>
      <c r="F77" s="33"/>
      <c r="G77" s="33" t="s">
        <v>52</v>
      </c>
      <c r="H77" s="33" t="s">
        <v>53</v>
      </c>
      <c r="I77" s="33" t="s">
        <v>36</v>
      </c>
      <c r="J77" s="33" t="s">
        <v>37</v>
      </c>
      <c r="K77" s="33">
        <v>1985023781566</v>
      </c>
      <c r="L77" s="35">
        <v>46136</v>
      </c>
      <c r="M77" s="36">
        <v>0.4375</v>
      </c>
      <c r="N77" s="33" t="s">
        <v>41</v>
      </c>
      <c r="O77" s="33" t="s">
        <v>42</v>
      </c>
      <c r="P77" s="33">
        <v>1</v>
      </c>
      <c r="Q77" s="33"/>
      <c r="R77" s="33" t="s">
        <v>54</v>
      </c>
      <c r="S77" s="33" t="s">
        <v>44</v>
      </c>
      <c r="T77" s="33">
        <v>0</v>
      </c>
      <c r="U77" s="33" t="s">
        <v>469</v>
      </c>
      <c r="V77" s="33" t="s">
        <v>470</v>
      </c>
      <c r="W77" s="33" t="s">
        <v>471</v>
      </c>
      <c r="X77" s="33"/>
      <c r="Y77" s="33"/>
      <c r="Z77" s="33"/>
      <c r="AA77" s="33">
        <v>1.46742242432267E+24</v>
      </c>
      <c r="AB77" s="33" t="s">
        <v>46</v>
      </c>
    </row>
    <row r="78" spans="1:28" x14ac:dyDescent="0.25">
      <c r="A78" s="33">
        <v>14674990143</v>
      </c>
      <c r="B78" s="34">
        <v>46126.415046296293</v>
      </c>
      <c r="C78" s="33" t="s">
        <v>232</v>
      </c>
      <c r="D78" s="33" t="s">
        <v>475</v>
      </c>
      <c r="E78" s="33" t="s">
        <v>476</v>
      </c>
      <c r="F78" s="33"/>
      <c r="G78" s="33" t="s">
        <v>52</v>
      </c>
      <c r="H78" s="33" t="s">
        <v>53</v>
      </c>
      <c r="I78" s="33" t="s">
        <v>36</v>
      </c>
      <c r="J78" s="33" t="s">
        <v>37</v>
      </c>
      <c r="K78" s="33">
        <v>1985023781566</v>
      </c>
      <c r="L78" s="35">
        <v>46136</v>
      </c>
      <c r="M78" s="36">
        <v>0.4375</v>
      </c>
      <c r="N78" s="33" t="s">
        <v>41</v>
      </c>
      <c r="O78" s="33" t="s">
        <v>42</v>
      </c>
      <c r="P78" s="33">
        <v>1</v>
      </c>
      <c r="Q78" s="33"/>
      <c r="R78" s="33" t="s">
        <v>43</v>
      </c>
      <c r="S78" s="33" t="s">
        <v>44</v>
      </c>
      <c r="T78" s="33">
        <v>25</v>
      </c>
      <c r="U78" s="33" t="s">
        <v>232</v>
      </c>
      <c r="V78" s="33" t="s">
        <v>475</v>
      </c>
      <c r="W78" s="33" t="s">
        <v>476</v>
      </c>
      <c r="X78" s="33"/>
      <c r="Y78" s="33"/>
      <c r="Z78" s="33"/>
      <c r="AA78" s="33">
        <v>1.46749901432267E+24</v>
      </c>
      <c r="AB78" s="33" t="s">
        <v>46</v>
      </c>
    </row>
    <row r="79" spans="1:28" x14ac:dyDescent="0.25">
      <c r="A79" s="33">
        <v>14675563553</v>
      </c>
      <c r="B79" s="34">
        <v>46126.465231481481</v>
      </c>
      <c r="C79" s="33" t="s">
        <v>480</v>
      </c>
      <c r="D79" s="33" t="s">
        <v>481</v>
      </c>
      <c r="E79" s="33" t="s">
        <v>482</v>
      </c>
      <c r="F79" s="33"/>
      <c r="G79" s="33" t="s">
        <v>52</v>
      </c>
      <c r="H79" s="33" t="s">
        <v>53</v>
      </c>
      <c r="I79" s="33" t="s">
        <v>36</v>
      </c>
      <c r="J79" s="33" t="s">
        <v>37</v>
      </c>
      <c r="K79" s="33">
        <v>1985023781566</v>
      </c>
      <c r="L79" s="35">
        <v>46136</v>
      </c>
      <c r="M79" s="36">
        <v>0.4375</v>
      </c>
      <c r="N79" s="33" t="s">
        <v>41</v>
      </c>
      <c r="O79" s="33" t="s">
        <v>42</v>
      </c>
      <c r="P79" s="33">
        <v>1</v>
      </c>
      <c r="Q79" s="33"/>
      <c r="R79" s="33" t="s">
        <v>54</v>
      </c>
      <c r="S79" s="33" t="s">
        <v>44</v>
      </c>
      <c r="T79" s="33">
        <v>0</v>
      </c>
      <c r="U79" s="33" t="s">
        <v>480</v>
      </c>
      <c r="V79" s="33" t="s">
        <v>481</v>
      </c>
      <c r="W79" s="33" t="s">
        <v>482</v>
      </c>
      <c r="X79" s="33"/>
      <c r="Y79" s="33"/>
      <c r="Z79" s="33"/>
      <c r="AA79" s="33">
        <v>1.46755635532267E+24</v>
      </c>
      <c r="AB79" s="33" t="s">
        <v>46</v>
      </c>
    </row>
    <row r="80" spans="1:28" x14ac:dyDescent="0.25">
      <c r="A80" s="33">
        <v>14676260933</v>
      </c>
      <c r="B80" s="34">
        <v>46126.52416666667</v>
      </c>
      <c r="C80" s="33" t="s">
        <v>120</v>
      </c>
      <c r="D80" s="33" t="s">
        <v>486</v>
      </c>
      <c r="E80" s="33" t="s">
        <v>487</v>
      </c>
      <c r="F80" s="33"/>
      <c r="G80" s="33" t="s">
        <v>52</v>
      </c>
      <c r="H80" s="33" t="s">
        <v>53</v>
      </c>
      <c r="I80" s="33" t="s">
        <v>36</v>
      </c>
      <c r="J80" s="33" t="s">
        <v>37</v>
      </c>
      <c r="K80" s="33">
        <v>1985023781566</v>
      </c>
      <c r="L80" s="35">
        <v>46136</v>
      </c>
      <c r="M80" s="36">
        <v>0.4375</v>
      </c>
      <c r="N80" s="33" t="s">
        <v>41</v>
      </c>
      <c r="O80" s="33" t="s">
        <v>42</v>
      </c>
      <c r="P80" s="33">
        <v>1</v>
      </c>
      <c r="Q80" s="33"/>
      <c r="R80" s="33" t="s">
        <v>54</v>
      </c>
      <c r="S80" s="33" t="s">
        <v>44</v>
      </c>
      <c r="T80" s="33">
        <v>0</v>
      </c>
      <c r="U80" s="33" t="s">
        <v>120</v>
      </c>
      <c r="V80" s="33" t="s">
        <v>486</v>
      </c>
      <c r="W80" s="33" t="s">
        <v>487</v>
      </c>
      <c r="X80" s="33"/>
      <c r="Y80" s="33"/>
      <c r="Z80" s="33"/>
      <c r="AA80" s="33">
        <v>1.4676260933226699E+24</v>
      </c>
      <c r="AB80" s="33" t="s">
        <v>46</v>
      </c>
    </row>
    <row r="81" spans="1:28" x14ac:dyDescent="0.25">
      <c r="A81" s="33">
        <v>14676275313</v>
      </c>
      <c r="B81" s="34">
        <v>46126.525381944448</v>
      </c>
      <c r="C81" s="33" t="s">
        <v>491</v>
      </c>
      <c r="D81" s="33" t="s">
        <v>492</v>
      </c>
      <c r="E81" s="33" t="s">
        <v>493</v>
      </c>
      <c r="F81" s="33"/>
      <c r="G81" s="33" t="s">
        <v>52</v>
      </c>
      <c r="H81" s="33" t="s">
        <v>53</v>
      </c>
      <c r="I81" s="33" t="s">
        <v>36</v>
      </c>
      <c r="J81" s="33" t="s">
        <v>37</v>
      </c>
      <c r="K81" s="33">
        <v>1985023781566</v>
      </c>
      <c r="L81" s="35">
        <v>46136</v>
      </c>
      <c r="M81" s="36">
        <v>0.4375</v>
      </c>
      <c r="N81" s="33" t="s">
        <v>41</v>
      </c>
      <c r="O81" s="33" t="s">
        <v>42</v>
      </c>
      <c r="P81" s="33">
        <v>1</v>
      </c>
      <c r="Q81" s="33"/>
      <c r="R81" s="33" t="s">
        <v>54</v>
      </c>
      <c r="S81" s="33" t="s">
        <v>44</v>
      </c>
      <c r="T81" s="33">
        <v>0</v>
      </c>
      <c r="U81" s="33" t="s">
        <v>491</v>
      </c>
      <c r="V81" s="33" t="s">
        <v>492</v>
      </c>
      <c r="W81" s="33" t="s">
        <v>493</v>
      </c>
      <c r="X81" s="33"/>
      <c r="Y81" s="33"/>
      <c r="Z81" s="33"/>
      <c r="AA81" s="33">
        <v>1.4676275313226699E+24</v>
      </c>
      <c r="AB81" s="33" t="s">
        <v>46</v>
      </c>
    </row>
    <row r="82" spans="1:28" x14ac:dyDescent="0.25">
      <c r="A82" s="33">
        <v>14678745073</v>
      </c>
      <c r="B82" s="34">
        <v>46126.759930555556</v>
      </c>
      <c r="C82" s="33" t="s">
        <v>497</v>
      </c>
      <c r="D82" s="33" t="s">
        <v>498</v>
      </c>
      <c r="E82" s="33" t="s">
        <v>499</v>
      </c>
      <c r="F82" s="33"/>
      <c r="G82" s="33" t="s">
        <v>52</v>
      </c>
      <c r="H82" s="33" t="s">
        <v>53</v>
      </c>
      <c r="I82" s="33" t="s">
        <v>36</v>
      </c>
      <c r="J82" s="33" t="s">
        <v>37</v>
      </c>
      <c r="K82" s="33">
        <v>1985023781566</v>
      </c>
      <c r="L82" s="35">
        <v>46136</v>
      </c>
      <c r="M82" s="36">
        <v>0.4375</v>
      </c>
      <c r="N82" s="33" t="s">
        <v>41</v>
      </c>
      <c r="O82" s="33" t="s">
        <v>42</v>
      </c>
      <c r="P82" s="33">
        <v>1</v>
      </c>
      <c r="Q82" s="33"/>
      <c r="R82" s="33" t="s">
        <v>176</v>
      </c>
      <c r="S82" s="33" t="s">
        <v>44</v>
      </c>
      <c r="T82" s="33">
        <v>0</v>
      </c>
      <c r="U82" s="33" t="s">
        <v>497</v>
      </c>
      <c r="V82" s="33" t="s">
        <v>498</v>
      </c>
      <c r="W82" s="33" t="s">
        <v>499</v>
      </c>
      <c r="X82" s="33"/>
      <c r="Y82" s="33"/>
      <c r="Z82" s="33"/>
      <c r="AA82" s="33">
        <v>1.4678745073226699E+24</v>
      </c>
      <c r="AB82" s="33" t="s">
        <v>46</v>
      </c>
    </row>
    <row r="83" spans="1:28" x14ac:dyDescent="0.25">
      <c r="A83" s="33">
        <v>14679980723</v>
      </c>
      <c r="B83" s="34">
        <v>46126.920393518521</v>
      </c>
      <c r="C83" s="33" t="s">
        <v>503</v>
      </c>
      <c r="D83" s="33" t="s">
        <v>504</v>
      </c>
      <c r="E83" s="33" t="s">
        <v>505</v>
      </c>
      <c r="F83" s="33"/>
      <c r="G83" s="33" t="s">
        <v>52</v>
      </c>
      <c r="H83" s="33" t="s">
        <v>53</v>
      </c>
      <c r="I83" s="33" t="s">
        <v>36</v>
      </c>
      <c r="J83" s="33" t="s">
        <v>37</v>
      </c>
      <c r="K83" s="33">
        <v>1985023781566</v>
      </c>
      <c r="L83" s="35">
        <v>46136</v>
      </c>
      <c r="M83" s="36">
        <v>0.4375</v>
      </c>
      <c r="N83" s="33" t="s">
        <v>41</v>
      </c>
      <c r="O83" s="33" t="s">
        <v>42</v>
      </c>
      <c r="P83" s="33">
        <v>1</v>
      </c>
      <c r="Q83" s="33"/>
      <c r="R83" s="33" t="s">
        <v>176</v>
      </c>
      <c r="S83" s="33" t="s">
        <v>44</v>
      </c>
      <c r="T83" s="33">
        <v>0</v>
      </c>
      <c r="U83" s="33" t="s">
        <v>503</v>
      </c>
      <c r="V83" s="33" t="s">
        <v>504</v>
      </c>
      <c r="W83" s="33" t="s">
        <v>505</v>
      </c>
      <c r="X83" s="33"/>
      <c r="Y83" s="33"/>
      <c r="Z83" s="33"/>
      <c r="AA83" s="33">
        <v>1.46799807232267E+24</v>
      </c>
      <c r="AB83" s="33" t="s">
        <v>46</v>
      </c>
    </row>
    <row r="84" spans="1:28" x14ac:dyDescent="0.25">
      <c r="A84" s="33">
        <v>14680232433</v>
      </c>
      <c r="B84" s="34">
        <v>46126.968564814815</v>
      </c>
      <c r="C84" s="33" t="s">
        <v>509</v>
      </c>
      <c r="D84" s="33" t="s">
        <v>510</v>
      </c>
      <c r="E84" s="33" t="s">
        <v>511</v>
      </c>
      <c r="F84" s="33"/>
      <c r="G84" s="33" t="s">
        <v>52</v>
      </c>
      <c r="H84" s="33" t="s">
        <v>53</v>
      </c>
      <c r="I84" s="33" t="s">
        <v>36</v>
      </c>
      <c r="J84" s="33" t="s">
        <v>37</v>
      </c>
      <c r="K84" s="33">
        <v>1985023781566</v>
      </c>
      <c r="L84" s="35">
        <v>46136</v>
      </c>
      <c r="M84" s="36">
        <v>0.4375</v>
      </c>
      <c r="N84" s="33" t="s">
        <v>41</v>
      </c>
      <c r="O84" s="33" t="s">
        <v>42</v>
      </c>
      <c r="P84" s="33">
        <v>1</v>
      </c>
      <c r="Q84" s="33"/>
      <c r="R84" s="33" t="s">
        <v>176</v>
      </c>
      <c r="S84" s="33" t="s">
        <v>44</v>
      </c>
      <c r="T84" s="33">
        <v>0</v>
      </c>
      <c r="U84" s="33" t="s">
        <v>509</v>
      </c>
      <c r="V84" s="33" t="s">
        <v>510</v>
      </c>
      <c r="W84" s="33" t="s">
        <v>511</v>
      </c>
      <c r="X84" s="33"/>
      <c r="Y84" s="33"/>
      <c r="Z84" s="33"/>
      <c r="AA84" s="33">
        <v>1.4680232433226699E+24</v>
      </c>
      <c r="AB84" s="33" t="s">
        <v>46</v>
      </c>
    </row>
    <row r="85" spans="1:28" x14ac:dyDescent="0.25">
      <c r="A85" s="33">
        <v>14682580943</v>
      </c>
      <c r="B85" s="34">
        <v>46127.33090277778</v>
      </c>
      <c r="C85" s="33" t="s">
        <v>515</v>
      </c>
      <c r="D85" s="33" t="s">
        <v>516</v>
      </c>
      <c r="E85" s="33" t="s">
        <v>517</v>
      </c>
      <c r="F85" s="33"/>
      <c r="G85" s="33" t="s">
        <v>518</v>
      </c>
      <c r="H85" s="33" t="s">
        <v>53</v>
      </c>
      <c r="I85" s="33" t="s">
        <v>36</v>
      </c>
      <c r="J85" s="33" t="s">
        <v>37</v>
      </c>
      <c r="K85" s="33">
        <v>1985023781566</v>
      </c>
      <c r="L85" s="35">
        <v>46136</v>
      </c>
      <c r="M85" s="36">
        <v>0.4375</v>
      </c>
      <c r="N85" s="33" t="s">
        <v>41</v>
      </c>
      <c r="O85" s="33" t="s">
        <v>42</v>
      </c>
      <c r="P85" s="33">
        <v>1</v>
      </c>
      <c r="Q85" s="33"/>
      <c r="R85" s="33" t="s">
        <v>43</v>
      </c>
      <c r="S85" s="33" t="s">
        <v>44</v>
      </c>
      <c r="T85" s="33">
        <v>25</v>
      </c>
      <c r="U85" s="33" t="s">
        <v>515</v>
      </c>
      <c r="V85" s="33" t="s">
        <v>516</v>
      </c>
      <c r="W85" s="33" t="s">
        <v>517</v>
      </c>
      <c r="X85" s="33"/>
      <c r="Y85" s="33"/>
      <c r="Z85" s="33"/>
      <c r="AA85" s="33">
        <v>1.4682580943226699E+24</v>
      </c>
      <c r="AB85" s="33" t="s">
        <v>46</v>
      </c>
    </row>
    <row r="86" spans="1:28" x14ac:dyDescent="0.25">
      <c r="A86" s="33">
        <v>14683059483</v>
      </c>
      <c r="B86" s="34">
        <v>46127.37909722222</v>
      </c>
      <c r="C86" s="33" t="s">
        <v>522</v>
      </c>
      <c r="D86" s="33" t="s">
        <v>523</v>
      </c>
      <c r="E86" s="33" t="s">
        <v>524</v>
      </c>
      <c r="F86" s="33"/>
      <c r="G86" s="33" t="s">
        <v>52</v>
      </c>
      <c r="H86" s="33" t="s">
        <v>53</v>
      </c>
      <c r="I86" s="33" t="s">
        <v>36</v>
      </c>
      <c r="J86" s="33" t="s">
        <v>37</v>
      </c>
      <c r="K86" s="33">
        <v>1985023781566</v>
      </c>
      <c r="L86" s="35">
        <v>46136</v>
      </c>
      <c r="M86" s="36">
        <v>0.4375</v>
      </c>
      <c r="N86" s="33" t="s">
        <v>41</v>
      </c>
      <c r="O86" s="33" t="s">
        <v>42</v>
      </c>
      <c r="P86" s="33">
        <v>1</v>
      </c>
      <c r="Q86" s="33"/>
      <c r="R86" s="33" t="s">
        <v>54</v>
      </c>
      <c r="S86" s="33" t="s">
        <v>44</v>
      </c>
      <c r="T86" s="33">
        <v>0</v>
      </c>
      <c r="U86" s="33" t="s">
        <v>522</v>
      </c>
      <c r="V86" s="33" t="s">
        <v>523</v>
      </c>
      <c r="W86" s="33" t="s">
        <v>524</v>
      </c>
      <c r="X86" s="33"/>
      <c r="Y86" s="33"/>
      <c r="Z86" s="33"/>
      <c r="AA86" s="33">
        <v>1.46830594832267E+24</v>
      </c>
      <c r="AB86" s="33" t="s">
        <v>46</v>
      </c>
    </row>
    <row r="87" spans="1:28" x14ac:dyDescent="0.25">
      <c r="A87" s="33">
        <v>14685066173</v>
      </c>
      <c r="B87" s="34">
        <v>46127.55505787037</v>
      </c>
      <c r="C87" s="33" t="s">
        <v>528</v>
      </c>
      <c r="D87" s="33" t="s">
        <v>529</v>
      </c>
      <c r="E87" s="33" t="s">
        <v>530</v>
      </c>
      <c r="F87" s="33"/>
      <c r="G87" s="33" t="s">
        <v>84</v>
      </c>
      <c r="H87" s="33" t="s">
        <v>53</v>
      </c>
      <c r="I87" s="33" t="s">
        <v>36</v>
      </c>
      <c r="J87" s="33" t="s">
        <v>37</v>
      </c>
      <c r="K87" s="33">
        <v>1985023781566</v>
      </c>
      <c r="L87" s="35">
        <v>46136</v>
      </c>
      <c r="M87" s="36">
        <v>0.4375</v>
      </c>
      <c r="N87" s="33" t="s">
        <v>41</v>
      </c>
      <c r="O87" s="33" t="s">
        <v>42</v>
      </c>
      <c r="P87" s="33">
        <v>1</v>
      </c>
      <c r="Q87" s="33"/>
      <c r="R87" s="33" t="s">
        <v>43</v>
      </c>
      <c r="S87" s="33" t="s">
        <v>44</v>
      </c>
      <c r="T87" s="33">
        <v>25</v>
      </c>
      <c r="U87" s="33" t="s">
        <v>528</v>
      </c>
      <c r="V87" s="33" t="s">
        <v>529</v>
      </c>
      <c r="W87" s="33" t="s">
        <v>530</v>
      </c>
      <c r="X87" s="33"/>
      <c r="Y87" s="33"/>
      <c r="Z87" s="33"/>
      <c r="AA87" s="33">
        <v>1.46850661732267E+24</v>
      </c>
      <c r="AB87" s="33" t="s">
        <v>46</v>
      </c>
    </row>
    <row r="88" spans="1:28" x14ac:dyDescent="0.25">
      <c r="A88" s="33">
        <v>14685445333</v>
      </c>
      <c r="B88" s="34">
        <v>46127.587141203701</v>
      </c>
      <c r="C88" s="33" t="s">
        <v>706</v>
      </c>
      <c r="D88" s="33" t="s">
        <v>706</v>
      </c>
      <c r="E88" s="33" t="s">
        <v>534</v>
      </c>
      <c r="F88" s="33"/>
      <c r="G88" s="33" t="s">
        <v>109</v>
      </c>
      <c r="H88" s="33" t="s">
        <v>53</v>
      </c>
      <c r="I88" s="33" t="s">
        <v>36</v>
      </c>
      <c r="J88" s="33" t="s">
        <v>37</v>
      </c>
      <c r="K88" s="33">
        <v>1985023781566</v>
      </c>
      <c r="L88" s="35">
        <v>46136</v>
      </c>
      <c r="M88" s="36">
        <v>0.4375</v>
      </c>
      <c r="N88" s="33" t="s">
        <v>41</v>
      </c>
      <c r="O88" s="33" t="s">
        <v>42</v>
      </c>
      <c r="P88" s="33">
        <v>1</v>
      </c>
      <c r="Q88" s="33"/>
      <c r="R88" s="33" t="s">
        <v>43</v>
      </c>
      <c r="S88" s="33" t="s">
        <v>44</v>
      </c>
      <c r="T88" s="33">
        <v>25</v>
      </c>
      <c r="U88" s="33" t="s">
        <v>535</v>
      </c>
      <c r="V88" s="33" t="s">
        <v>536</v>
      </c>
      <c r="W88" s="33" t="s">
        <v>534</v>
      </c>
      <c r="X88" s="33"/>
      <c r="Y88" s="33"/>
      <c r="Z88" s="33"/>
      <c r="AA88" s="33">
        <v>1.4685445333226701E+24</v>
      </c>
      <c r="AB88" s="33" t="s">
        <v>46</v>
      </c>
    </row>
    <row r="89" spans="1:28" x14ac:dyDescent="0.25">
      <c r="A89" s="33">
        <v>14685606223</v>
      </c>
      <c r="B89" s="34">
        <v>46127.600902777776</v>
      </c>
      <c r="C89" s="33" t="s">
        <v>540</v>
      </c>
      <c r="D89" s="33" t="s">
        <v>541</v>
      </c>
      <c r="E89" s="33" t="s">
        <v>542</v>
      </c>
      <c r="F89" s="33"/>
      <c r="G89" s="33" t="s">
        <v>52</v>
      </c>
      <c r="H89" s="33" t="s">
        <v>53</v>
      </c>
      <c r="I89" s="33" t="s">
        <v>36</v>
      </c>
      <c r="J89" s="33" t="s">
        <v>37</v>
      </c>
      <c r="K89" s="33">
        <v>1985023781566</v>
      </c>
      <c r="L89" s="35">
        <v>46136</v>
      </c>
      <c r="M89" s="36">
        <v>0.4375</v>
      </c>
      <c r="N89" s="33" t="s">
        <v>41</v>
      </c>
      <c r="O89" s="33" t="s">
        <v>42</v>
      </c>
      <c r="P89" s="33">
        <v>1</v>
      </c>
      <c r="Q89" s="33"/>
      <c r="R89" s="33" t="s">
        <v>54</v>
      </c>
      <c r="S89" s="33" t="s">
        <v>44</v>
      </c>
      <c r="T89" s="33">
        <v>0</v>
      </c>
      <c r="U89" s="33" t="s">
        <v>540</v>
      </c>
      <c r="V89" s="33" t="s">
        <v>541</v>
      </c>
      <c r="W89" s="33" t="s">
        <v>542</v>
      </c>
      <c r="X89" s="33"/>
      <c r="Y89" s="33"/>
      <c r="Z89" s="33"/>
      <c r="AA89" s="33">
        <v>1.4685606223226701E+24</v>
      </c>
      <c r="AB89" s="33" t="s">
        <v>46</v>
      </c>
    </row>
    <row r="90" spans="1:28" x14ac:dyDescent="0.25">
      <c r="A90" s="33">
        <v>14685719343</v>
      </c>
      <c r="B90" s="34">
        <v>46127.610567129632</v>
      </c>
      <c r="C90" s="33" t="s">
        <v>546</v>
      </c>
      <c r="D90" s="33" t="s">
        <v>547</v>
      </c>
      <c r="E90" s="33" t="s">
        <v>548</v>
      </c>
      <c r="F90" s="33"/>
      <c r="G90" s="33" t="s">
        <v>275</v>
      </c>
      <c r="H90" s="33" t="s">
        <v>53</v>
      </c>
      <c r="I90" s="33" t="s">
        <v>36</v>
      </c>
      <c r="J90" s="33" t="s">
        <v>37</v>
      </c>
      <c r="K90" s="33">
        <v>1985023781566</v>
      </c>
      <c r="L90" s="35">
        <v>46136</v>
      </c>
      <c r="M90" s="36">
        <v>0.4375</v>
      </c>
      <c r="N90" s="33" t="s">
        <v>41</v>
      </c>
      <c r="O90" s="33" t="s">
        <v>42</v>
      </c>
      <c r="P90" s="33">
        <v>1</v>
      </c>
      <c r="Q90" s="33"/>
      <c r="R90" s="33" t="s">
        <v>176</v>
      </c>
      <c r="S90" s="33" t="s">
        <v>44</v>
      </c>
      <c r="T90" s="33">
        <v>0</v>
      </c>
      <c r="U90" s="33" t="s">
        <v>546</v>
      </c>
      <c r="V90" s="33" t="s">
        <v>547</v>
      </c>
      <c r="W90" s="33" t="s">
        <v>548</v>
      </c>
      <c r="X90" s="33"/>
      <c r="Y90" s="33"/>
      <c r="Z90" s="33"/>
      <c r="AA90" s="33">
        <v>1.4685719343226701E+24</v>
      </c>
      <c r="AB90" s="33" t="s">
        <v>46</v>
      </c>
    </row>
    <row r="91" spans="1:28" x14ac:dyDescent="0.25">
      <c r="A91" s="33">
        <v>14685727473</v>
      </c>
      <c r="B91" s="34">
        <v>46127.611226851855</v>
      </c>
      <c r="C91" s="33" t="s">
        <v>552</v>
      </c>
      <c r="D91" s="33" t="s">
        <v>553</v>
      </c>
      <c r="E91" s="33" t="s">
        <v>554</v>
      </c>
      <c r="F91" s="33"/>
      <c r="G91" s="33" t="s">
        <v>52</v>
      </c>
      <c r="H91" s="33" t="s">
        <v>53</v>
      </c>
      <c r="I91" s="33" t="s">
        <v>36</v>
      </c>
      <c r="J91" s="33" t="s">
        <v>37</v>
      </c>
      <c r="K91" s="33">
        <v>1985023781566</v>
      </c>
      <c r="L91" s="35">
        <v>46136</v>
      </c>
      <c r="M91" s="36">
        <v>0.4375</v>
      </c>
      <c r="N91" s="33" t="s">
        <v>41</v>
      </c>
      <c r="O91" s="33" t="s">
        <v>42</v>
      </c>
      <c r="P91" s="33">
        <v>1</v>
      </c>
      <c r="Q91" s="33"/>
      <c r="R91" s="33" t="s">
        <v>54</v>
      </c>
      <c r="S91" s="33" t="s">
        <v>44</v>
      </c>
      <c r="T91" s="33">
        <v>0</v>
      </c>
      <c r="U91" s="33" t="s">
        <v>552</v>
      </c>
      <c r="V91" s="33" t="s">
        <v>553</v>
      </c>
      <c r="W91" s="33" t="s">
        <v>554</v>
      </c>
      <c r="X91" s="33"/>
      <c r="Y91" s="33"/>
      <c r="Z91" s="33"/>
      <c r="AA91" s="33">
        <v>1.4685727473226699E+24</v>
      </c>
      <c r="AB91" s="33" t="s">
        <v>46</v>
      </c>
    </row>
    <row r="92" spans="1:28" x14ac:dyDescent="0.25">
      <c r="A92" s="47">
        <v>14691356303</v>
      </c>
      <c r="B92" s="48">
        <v>46128.369560185187</v>
      </c>
      <c r="C92" s="47" t="s">
        <v>155</v>
      </c>
      <c r="D92" s="47" t="s">
        <v>155</v>
      </c>
      <c r="E92" s="47" t="s">
        <v>709</v>
      </c>
      <c r="F92" s="47"/>
      <c r="G92" s="47" t="s">
        <v>710</v>
      </c>
      <c r="H92" s="47">
        <v>11</v>
      </c>
      <c r="I92" s="47" t="s">
        <v>711</v>
      </c>
      <c r="J92" s="47" t="s">
        <v>37</v>
      </c>
      <c r="K92" s="47">
        <v>1985023781566</v>
      </c>
      <c r="L92" s="49">
        <v>46136</v>
      </c>
      <c r="M92" s="50">
        <v>0.4375</v>
      </c>
      <c r="N92" s="47" t="s">
        <v>41</v>
      </c>
      <c r="O92" s="47" t="s">
        <v>42</v>
      </c>
      <c r="P92" s="47">
        <v>1</v>
      </c>
      <c r="Q92" s="47"/>
      <c r="R92" s="47" t="s">
        <v>176</v>
      </c>
      <c r="S92" s="47" t="s">
        <v>44</v>
      </c>
      <c r="T92" s="47">
        <v>0</v>
      </c>
      <c r="U92" s="47" t="s">
        <v>707</v>
      </c>
      <c r="V92" s="47" t="s">
        <v>708</v>
      </c>
      <c r="W92" s="47" t="s">
        <v>709</v>
      </c>
      <c r="X92" s="47"/>
      <c r="Y92" s="47"/>
      <c r="Z92" s="47"/>
      <c r="AA92" s="47">
        <v>1.4691356303226701E+24</v>
      </c>
      <c r="AB92" s="47" t="s">
        <v>46</v>
      </c>
    </row>
    <row r="93" spans="1:28" x14ac:dyDescent="0.25">
      <c r="A93" s="33">
        <v>14691356303</v>
      </c>
      <c r="B93" s="34">
        <v>46128.369560185187</v>
      </c>
      <c r="C93" s="33" t="s">
        <v>707</v>
      </c>
      <c r="D93" s="33" t="s">
        <v>708</v>
      </c>
      <c r="E93" s="33" t="s">
        <v>709</v>
      </c>
      <c r="F93" s="33"/>
      <c r="G93" s="33" t="s">
        <v>710</v>
      </c>
      <c r="H93" s="33">
        <v>11</v>
      </c>
      <c r="I93" s="33" t="s">
        <v>711</v>
      </c>
      <c r="J93" s="33" t="s">
        <v>37</v>
      </c>
      <c r="K93" s="33">
        <v>1985023781566</v>
      </c>
      <c r="L93" s="35">
        <v>46136</v>
      </c>
      <c r="M93" s="36">
        <v>0.4375</v>
      </c>
      <c r="N93" s="33" t="s">
        <v>41</v>
      </c>
      <c r="O93" s="33" t="s">
        <v>42</v>
      </c>
      <c r="P93" s="33">
        <v>1</v>
      </c>
      <c r="Q93" s="33"/>
      <c r="R93" s="33" t="s">
        <v>54</v>
      </c>
      <c r="S93" s="33" t="s">
        <v>44</v>
      </c>
      <c r="T93" s="33">
        <v>0</v>
      </c>
      <c r="U93" s="33" t="s">
        <v>707</v>
      </c>
      <c r="V93" s="33" t="s">
        <v>708</v>
      </c>
      <c r="W93" s="33" t="s">
        <v>709</v>
      </c>
      <c r="X93" s="33"/>
      <c r="Y93" s="33"/>
      <c r="Z93" s="33"/>
      <c r="AA93" s="33">
        <v>1.4691356303226701E+24</v>
      </c>
      <c r="AB93" s="33" t="s">
        <v>46</v>
      </c>
    </row>
    <row r="94" spans="1:28" x14ac:dyDescent="0.25">
      <c r="A94" s="33">
        <v>14691476323</v>
      </c>
      <c r="B94" s="34">
        <v>46128.381412037037</v>
      </c>
      <c r="C94" s="33" t="s">
        <v>712</v>
      </c>
      <c r="D94" s="33" t="s">
        <v>713</v>
      </c>
      <c r="E94" s="33" t="s">
        <v>714</v>
      </c>
      <c r="F94" s="33"/>
      <c r="G94" s="33" t="s">
        <v>239</v>
      </c>
      <c r="H94" s="33" t="s">
        <v>53</v>
      </c>
      <c r="I94" s="33" t="s">
        <v>36</v>
      </c>
      <c r="J94" s="33" t="s">
        <v>37</v>
      </c>
      <c r="K94" s="33">
        <v>1985023781566</v>
      </c>
      <c r="L94" s="35">
        <v>46136</v>
      </c>
      <c r="M94" s="36">
        <v>0.4375</v>
      </c>
      <c r="N94" s="33" t="s">
        <v>41</v>
      </c>
      <c r="O94" s="33" t="s">
        <v>42</v>
      </c>
      <c r="P94" s="33">
        <v>1</v>
      </c>
      <c r="Q94" s="33"/>
      <c r="R94" s="33" t="s">
        <v>43</v>
      </c>
      <c r="S94" s="33" t="s">
        <v>44</v>
      </c>
      <c r="T94" s="33">
        <v>0</v>
      </c>
      <c r="U94" s="33" t="s">
        <v>712</v>
      </c>
      <c r="V94" s="33" t="s">
        <v>713</v>
      </c>
      <c r="W94" s="33" t="s">
        <v>714</v>
      </c>
      <c r="X94" s="33"/>
      <c r="Y94" s="33"/>
      <c r="Z94" s="33"/>
      <c r="AA94" s="33">
        <v>1.4691476323226701E+24</v>
      </c>
      <c r="AB94" s="33" t="s">
        <v>46</v>
      </c>
    </row>
    <row r="95" spans="1:28" x14ac:dyDescent="0.25">
      <c r="A95" s="33">
        <v>14693569763</v>
      </c>
      <c r="B95" s="34">
        <v>46128.562569444446</v>
      </c>
      <c r="C95" s="33" t="s">
        <v>156</v>
      </c>
      <c r="D95" s="33" t="s">
        <v>715</v>
      </c>
      <c r="E95" s="33" t="s">
        <v>716</v>
      </c>
      <c r="F95" s="33"/>
      <c r="G95" s="33" t="s">
        <v>52</v>
      </c>
      <c r="H95" s="33" t="s">
        <v>53</v>
      </c>
      <c r="I95" s="33" t="s">
        <v>36</v>
      </c>
      <c r="J95" s="33" t="s">
        <v>37</v>
      </c>
      <c r="K95" s="33">
        <v>1985023781566</v>
      </c>
      <c r="L95" s="35">
        <v>46136</v>
      </c>
      <c r="M95" s="36">
        <v>0.4375</v>
      </c>
      <c r="N95" s="33" t="s">
        <v>41</v>
      </c>
      <c r="O95" s="33" t="s">
        <v>42</v>
      </c>
      <c r="P95" s="33">
        <v>1</v>
      </c>
      <c r="Q95" s="33"/>
      <c r="R95" s="33" t="s">
        <v>176</v>
      </c>
      <c r="S95" s="33" t="s">
        <v>44</v>
      </c>
      <c r="T95" s="33">
        <v>0</v>
      </c>
      <c r="U95" s="33" t="s">
        <v>156</v>
      </c>
      <c r="V95" s="33" t="s">
        <v>715</v>
      </c>
      <c r="W95" s="33" t="s">
        <v>716</v>
      </c>
      <c r="X95" s="33"/>
      <c r="Y95" s="33"/>
      <c r="Z95" s="33"/>
      <c r="AA95" s="33">
        <v>1.46935697632267E+24</v>
      </c>
      <c r="AB95" s="33" t="s">
        <v>46</v>
      </c>
    </row>
    <row r="96" spans="1:28" x14ac:dyDescent="0.25">
      <c r="A96" s="33">
        <v>14694014103</v>
      </c>
      <c r="B96" s="34">
        <v>46128.600532407407</v>
      </c>
      <c r="C96" s="33" t="s">
        <v>49</v>
      </c>
      <c r="D96" s="33" t="s">
        <v>717</v>
      </c>
      <c r="E96" s="33" t="s">
        <v>718</v>
      </c>
      <c r="F96" s="33"/>
      <c r="G96" s="33" t="s">
        <v>294</v>
      </c>
      <c r="H96" s="33" t="s">
        <v>53</v>
      </c>
      <c r="I96" s="33" t="s">
        <v>36</v>
      </c>
      <c r="J96" s="33" t="s">
        <v>37</v>
      </c>
      <c r="K96" s="33">
        <v>1985023781566</v>
      </c>
      <c r="L96" s="35">
        <v>46136</v>
      </c>
      <c r="M96" s="36">
        <v>0.4375</v>
      </c>
      <c r="N96" s="33" t="s">
        <v>41</v>
      </c>
      <c r="O96" s="33" t="s">
        <v>42</v>
      </c>
      <c r="P96" s="33">
        <v>1</v>
      </c>
      <c r="Q96" s="33"/>
      <c r="R96" s="33" t="s">
        <v>43</v>
      </c>
      <c r="S96" s="33" t="s">
        <v>44</v>
      </c>
      <c r="T96" s="33">
        <v>25</v>
      </c>
      <c r="U96" s="33" t="s">
        <v>49</v>
      </c>
      <c r="V96" s="33" t="s">
        <v>717</v>
      </c>
      <c r="W96" s="33" t="s">
        <v>718</v>
      </c>
      <c r="X96" s="33"/>
      <c r="Y96" s="33"/>
      <c r="Z96" s="33"/>
      <c r="AA96" s="33">
        <v>1.4694014103226701E+24</v>
      </c>
      <c r="AB96" s="33" t="s">
        <v>46</v>
      </c>
    </row>
    <row r="97" spans="1:28" x14ac:dyDescent="0.25">
      <c r="A97" s="33">
        <v>14694278233</v>
      </c>
      <c r="B97" s="34">
        <v>46128.623599537037</v>
      </c>
      <c r="C97" s="33" t="s">
        <v>752</v>
      </c>
      <c r="D97" s="33" t="s">
        <v>753</v>
      </c>
      <c r="E97" s="33" t="s">
        <v>754</v>
      </c>
      <c r="F97" s="33"/>
      <c r="G97" s="33" t="s">
        <v>755</v>
      </c>
      <c r="H97" s="33" t="s">
        <v>756</v>
      </c>
      <c r="I97" s="33" t="s">
        <v>36</v>
      </c>
      <c r="J97" s="33" t="s">
        <v>37</v>
      </c>
      <c r="K97" s="33">
        <v>1985023781566</v>
      </c>
      <c r="L97" s="35">
        <v>46136</v>
      </c>
      <c r="M97" s="36">
        <v>0.4375</v>
      </c>
      <c r="N97" s="33" t="s">
        <v>41</v>
      </c>
      <c r="O97" s="33" t="s">
        <v>42</v>
      </c>
      <c r="P97" s="33">
        <v>1</v>
      </c>
      <c r="Q97" s="33"/>
      <c r="R97" s="33" t="s">
        <v>43</v>
      </c>
      <c r="S97" s="33" t="s">
        <v>44</v>
      </c>
      <c r="T97" s="33">
        <v>25</v>
      </c>
      <c r="U97" s="33" t="s">
        <v>752</v>
      </c>
      <c r="V97" s="33" t="s">
        <v>753</v>
      </c>
      <c r="W97" s="33" t="s">
        <v>754</v>
      </c>
      <c r="X97" s="33"/>
      <c r="Y97" s="33"/>
      <c r="Z97" s="33"/>
      <c r="AA97" s="33">
        <v>1.46942782332267E+24</v>
      </c>
      <c r="AB97" s="33" t="s">
        <v>46</v>
      </c>
    </row>
    <row r="98" spans="1:28" x14ac:dyDescent="0.25">
      <c r="A98" s="33">
        <v>14694392773</v>
      </c>
      <c r="B98" s="34">
        <v>46128.633912037039</v>
      </c>
      <c r="C98" s="33" t="s">
        <v>757</v>
      </c>
      <c r="D98" s="33" t="s">
        <v>758</v>
      </c>
      <c r="E98" s="33" t="s">
        <v>759</v>
      </c>
      <c r="F98" s="33"/>
      <c r="G98" s="33" t="s">
        <v>760</v>
      </c>
      <c r="H98" s="33" t="s">
        <v>35</v>
      </c>
      <c r="I98" s="33" t="s">
        <v>36</v>
      </c>
      <c r="J98" s="33" t="s">
        <v>37</v>
      </c>
      <c r="K98" s="33">
        <v>1985023781566</v>
      </c>
      <c r="L98" s="35">
        <v>46136</v>
      </c>
      <c r="M98" s="36">
        <v>0.4375</v>
      </c>
      <c r="N98" s="33" t="s">
        <v>41</v>
      </c>
      <c r="O98" s="33" t="s">
        <v>42</v>
      </c>
      <c r="P98" s="33">
        <v>1</v>
      </c>
      <c r="Q98" s="33"/>
      <c r="R98" s="33" t="s">
        <v>43</v>
      </c>
      <c r="S98" s="33" t="s">
        <v>44</v>
      </c>
      <c r="T98" s="33">
        <v>25</v>
      </c>
      <c r="U98" s="33" t="s">
        <v>757</v>
      </c>
      <c r="V98" s="33" t="s">
        <v>758</v>
      </c>
      <c r="W98" s="33" t="s">
        <v>759</v>
      </c>
      <c r="X98" s="33"/>
      <c r="Y98" s="33"/>
      <c r="Z98" s="33"/>
      <c r="AA98" s="33">
        <v>1.4694392773226701E+24</v>
      </c>
      <c r="AB98" s="33" t="s">
        <v>46</v>
      </c>
    </row>
    <row r="99" spans="1:28" x14ac:dyDescent="0.25">
      <c r="A99" s="33">
        <v>14694692513</v>
      </c>
      <c r="B99" s="34">
        <v>46128.66138888889</v>
      </c>
      <c r="C99" s="33" t="s">
        <v>761</v>
      </c>
      <c r="D99" s="33" t="s">
        <v>762</v>
      </c>
      <c r="E99" s="33" t="s">
        <v>763</v>
      </c>
      <c r="F99" s="33"/>
      <c r="G99" s="33" t="s">
        <v>52</v>
      </c>
      <c r="H99" s="33" t="s">
        <v>53</v>
      </c>
      <c r="I99" s="33" t="s">
        <v>36</v>
      </c>
      <c r="J99" s="33" t="s">
        <v>37</v>
      </c>
      <c r="K99" s="33">
        <v>1985023781566</v>
      </c>
      <c r="L99" s="35">
        <v>46136</v>
      </c>
      <c r="M99" s="36">
        <v>0.4375</v>
      </c>
      <c r="N99" s="33" t="s">
        <v>41</v>
      </c>
      <c r="O99" s="33" t="s">
        <v>42</v>
      </c>
      <c r="P99" s="33">
        <v>1</v>
      </c>
      <c r="Q99" s="33"/>
      <c r="R99" s="33" t="s">
        <v>43</v>
      </c>
      <c r="S99" s="33" t="s">
        <v>44</v>
      </c>
      <c r="T99" s="33">
        <v>0</v>
      </c>
      <c r="U99" s="33" t="s">
        <v>761</v>
      </c>
      <c r="V99" s="33" t="s">
        <v>762</v>
      </c>
      <c r="W99" s="33" t="s">
        <v>763</v>
      </c>
      <c r="X99" s="33"/>
      <c r="Y99" s="33"/>
      <c r="Z99" s="33"/>
      <c r="AA99" s="33">
        <v>1.4694692513226701E+24</v>
      </c>
      <c r="AB99" s="33" t="s">
        <v>46</v>
      </c>
    </row>
    <row r="100" spans="1:28" x14ac:dyDescent="0.25">
      <c r="A100" s="33">
        <v>14695051573</v>
      </c>
      <c r="B100" s="34">
        <v>46128.695300925923</v>
      </c>
      <c r="C100" s="33" t="s">
        <v>190</v>
      </c>
      <c r="D100" s="33" t="s">
        <v>764</v>
      </c>
      <c r="E100" s="33" t="s">
        <v>765</v>
      </c>
      <c r="F100" s="33"/>
      <c r="G100" s="33" t="s">
        <v>766</v>
      </c>
      <c r="H100" s="33" t="s">
        <v>53</v>
      </c>
      <c r="I100" s="33" t="s">
        <v>36</v>
      </c>
      <c r="J100" s="33" t="s">
        <v>37</v>
      </c>
      <c r="K100" s="33">
        <v>1985023781566</v>
      </c>
      <c r="L100" s="35">
        <v>46136</v>
      </c>
      <c r="M100" s="36">
        <v>0.4375</v>
      </c>
      <c r="N100" s="33" t="s">
        <v>41</v>
      </c>
      <c r="O100" s="33" t="s">
        <v>42</v>
      </c>
      <c r="P100" s="33">
        <v>1</v>
      </c>
      <c r="Q100" s="33"/>
      <c r="R100" s="33" t="s">
        <v>43</v>
      </c>
      <c r="S100" s="33" t="s">
        <v>44</v>
      </c>
      <c r="T100" s="33">
        <v>25</v>
      </c>
      <c r="U100" s="33" t="s">
        <v>190</v>
      </c>
      <c r="V100" s="33" t="s">
        <v>764</v>
      </c>
      <c r="W100" s="33" t="s">
        <v>765</v>
      </c>
      <c r="X100" s="33"/>
      <c r="Y100" s="33"/>
      <c r="Z100" s="33"/>
      <c r="AA100" s="33">
        <v>1.4695051573226699E+24</v>
      </c>
      <c r="AB100" s="33" t="s">
        <v>46</v>
      </c>
    </row>
    <row r="101" spans="1:28" x14ac:dyDescent="0.25">
      <c r="A101" s="33">
        <v>14695136453</v>
      </c>
      <c r="B101" s="34">
        <v>46128.703738425924</v>
      </c>
      <c r="C101" s="33" t="s">
        <v>767</v>
      </c>
      <c r="D101" s="33" t="s">
        <v>768</v>
      </c>
      <c r="E101" s="33" t="s">
        <v>769</v>
      </c>
      <c r="F101" s="33"/>
      <c r="G101" s="33" t="s">
        <v>408</v>
      </c>
      <c r="H101" s="33" t="s">
        <v>53</v>
      </c>
      <c r="I101" s="33" t="s">
        <v>36</v>
      </c>
      <c r="J101" s="33" t="s">
        <v>37</v>
      </c>
      <c r="K101" s="33">
        <v>1985023781566</v>
      </c>
      <c r="L101" s="35">
        <v>46136</v>
      </c>
      <c r="M101" s="36">
        <v>0.4375</v>
      </c>
      <c r="N101" s="33" t="s">
        <v>41</v>
      </c>
      <c r="O101" s="33" t="s">
        <v>42</v>
      </c>
      <c r="P101" s="33">
        <v>1</v>
      </c>
      <c r="Q101" s="33"/>
      <c r="R101" s="33" t="s">
        <v>43</v>
      </c>
      <c r="S101" s="33" t="s">
        <v>44</v>
      </c>
      <c r="T101" s="33">
        <v>25</v>
      </c>
      <c r="U101" s="33" t="s">
        <v>767</v>
      </c>
      <c r="V101" s="33" t="s">
        <v>768</v>
      </c>
      <c r="W101" s="33" t="s">
        <v>769</v>
      </c>
      <c r="X101" s="33"/>
      <c r="Y101" s="33"/>
      <c r="Z101" s="33"/>
      <c r="AA101" s="33">
        <v>1.4695136453226701E+24</v>
      </c>
      <c r="AB101" s="33" t="s">
        <v>46</v>
      </c>
    </row>
    <row r="102" spans="1:28" x14ac:dyDescent="0.25">
      <c r="A102" s="33">
        <v>14695206013</v>
      </c>
      <c r="B102" s="34">
        <v>46128.710023148145</v>
      </c>
      <c r="C102" s="33" t="s">
        <v>770</v>
      </c>
      <c r="D102" s="33" t="s">
        <v>771</v>
      </c>
      <c r="E102" s="33" t="s">
        <v>772</v>
      </c>
      <c r="F102" s="33"/>
      <c r="G102" s="33" t="s">
        <v>52</v>
      </c>
      <c r="H102" s="33" t="s">
        <v>53</v>
      </c>
      <c r="I102" s="33" t="s">
        <v>36</v>
      </c>
      <c r="J102" s="33" t="s">
        <v>37</v>
      </c>
      <c r="K102" s="33">
        <v>1985023781566</v>
      </c>
      <c r="L102" s="35">
        <v>46136</v>
      </c>
      <c r="M102" s="36">
        <v>0.4375</v>
      </c>
      <c r="N102" s="33" t="s">
        <v>41</v>
      </c>
      <c r="O102" s="33" t="s">
        <v>42</v>
      </c>
      <c r="P102" s="33">
        <v>1</v>
      </c>
      <c r="Q102" s="33"/>
      <c r="R102" s="33" t="s">
        <v>176</v>
      </c>
      <c r="S102" s="33" t="s">
        <v>44</v>
      </c>
      <c r="T102" s="33">
        <v>0</v>
      </c>
      <c r="U102" s="33" t="s">
        <v>770</v>
      </c>
      <c r="V102" s="33" t="s">
        <v>771</v>
      </c>
      <c r="W102" s="33" t="s">
        <v>772</v>
      </c>
      <c r="X102" s="33"/>
      <c r="Y102" s="33"/>
      <c r="Z102" s="33"/>
      <c r="AA102" s="33">
        <v>1.4695206013226701E+24</v>
      </c>
      <c r="AB102" s="33" t="s">
        <v>46</v>
      </c>
    </row>
    <row r="103" spans="1:28" x14ac:dyDescent="0.25">
      <c r="A103" s="33">
        <v>14697176103</v>
      </c>
      <c r="B103" s="34">
        <v>46128.953969907408</v>
      </c>
      <c r="C103" s="33" t="s">
        <v>190</v>
      </c>
      <c r="D103" s="33" t="s">
        <v>773</v>
      </c>
      <c r="E103" s="33" t="s">
        <v>774</v>
      </c>
      <c r="F103" s="33"/>
      <c r="G103" s="33" t="s">
        <v>239</v>
      </c>
      <c r="H103" s="33" t="s">
        <v>53</v>
      </c>
      <c r="I103" s="33" t="s">
        <v>36</v>
      </c>
      <c r="J103" s="33" t="s">
        <v>37</v>
      </c>
      <c r="K103" s="33">
        <v>1985023781566</v>
      </c>
      <c r="L103" s="35">
        <v>46136</v>
      </c>
      <c r="M103" s="36">
        <v>0.4375</v>
      </c>
      <c r="N103" s="33" t="s">
        <v>41</v>
      </c>
      <c r="O103" s="33" t="s">
        <v>42</v>
      </c>
      <c r="P103" s="33">
        <v>1</v>
      </c>
      <c r="Q103" s="33"/>
      <c r="R103" s="33" t="s">
        <v>43</v>
      </c>
      <c r="S103" s="33" t="s">
        <v>44</v>
      </c>
      <c r="T103" s="33">
        <v>25</v>
      </c>
      <c r="U103" s="33" t="s">
        <v>190</v>
      </c>
      <c r="V103" s="33" t="s">
        <v>773</v>
      </c>
      <c r="W103" s="33" t="s">
        <v>774</v>
      </c>
      <c r="X103" s="33"/>
      <c r="Y103" s="33"/>
      <c r="Z103" s="33"/>
      <c r="AA103" s="33">
        <v>1.4697176103226699E+24</v>
      </c>
      <c r="AB103" s="33" t="s">
        <v>46</v>
      </c>
    </row>
    <row r="104" spans="1:28" x14ac:dyDescent="0.25">
      <c r="A104" s="33">
        <v>14697202903</v>
      </c>
      <c r="B104" s="34">
        <v>46128.95826388889</v>
      </c>
      <c r="C104" s="33" t="s">
        <v>647</v>
      </c>
      <c r="D104" s="33" t="s">
        <v>443</v>
      </c>
      <c r="E104" s="33" t="s">
        <v>775</v>
      </c>
      <c r="F104" s="33"/>
      <c r="G104" s="33" t="s">
        <v>239</v>
      </c>
      <c r="H104" s="33" t="s">
        <v>53</v>
      </c>
      <c r="I104" s="33" t="s">
        <v>36</v>
      </c>
      <c r="J104" s="33" t="s">
        <v>37</v>
      </c>
      <c r="K104" s="33">
        <v>1985023781566</v>
      </c>
      <c r="L104" s="35">
        <v>46136</v>
      </c>
      <c r="M104" s="36">
        <v>0.4375</v>
      </c>
      <c r="N104" s="33" t="s">
        <v>41</v>
      </c>
      <c r="O104" s="33" t="s">
        <v>42</v>
      </c>
      <c r="P104" s="33">
        <v>1</v>
      </c>
      <c r="Q104" s="33"/>
      <c r="R104" s="33" t="s">
        <v>43</v>
      </c>
      <c r="S104" s="33" t="s">
        <v>44</v>
      </c>
      <c r="T104" s="33">
        <v>25</v>
      </c>
      <c r="U104" s="33" t="s">
        <v>647</v>
      </c>
      <c r="V104" s="33" t="s">
        <v>443</v>
      </c>
      <c r="W104" s="33" t="s">
        <v>775</v>
      </c>
      <c r="X104" s="33"/>
      <c r="Y104" s="33"/>
      <c r="Z104" s="33"/>
      <c r="AA104" s="33">
        <v>1.4697202903226699E+24</v>
      </c>
      <c r="AB104" s="33" t="s">
        <v>46</v>
      </c>
    </row>
    <row r="105" spans="1:28" x14ac:dyDescent="0.25">
      <c r="A105" s="33">
        <v>14697209333</v>
      </c>
      <c r="B105" s="34">
        <v>46128.959143518521</v>
      </c>
      <c r="C105" s="33" t="s">
        <v>776</v>
      </c>
      <c r="D105" s="33" t="s">
        <v>443</v>
      </c>
      <c r="E105" s="33" t="s">
        <v>777</v>
      </c>
      <c r="F105" s="33"/>
      <c r="G105" s="33" t="s">
        <v>239</v>
      </c>
      <c r="H105" s="33" t="s">
        <v>53</v>
      </c>
      <c r="I105" s="33" t="s">
        <v>36</v>
      </c>
      <c r="J105" s="33" t="s">
        <v>37</v>
      </c>
      <c r="K105" s="33">
        <v>1985023781566</v>
      </c>
      <c r="L105" s="35">
        <v>46136</v>
      </c>
      <c r="M105" s="36">
        <v>0.4375</v>
      </c>
      <c r="N105" s="33" t="s">
        <v>41</v>
      </c>
      <c r="O105" s="33" t="s">
        <v>42</v>
      </c>
      <c r="P105" s="33">
        <v>1</v>
      </c>
      <c r="Q105" s="33"/>
      <c r="R105" s="33" t="s">
        <v>43</v>
      </c>
      <c r="S105" s="33" t="s">
        <v>44</v>
      </c>
      <c r="T105" s="33">
        <v>25</v>
      </c>
      <c r="U105" s="33" t="s">
        <v>649</v>
      </c>
      <c r="V105" s="33" t="s">
        <v>443</v>
      </c>
      <c r="W105" s="33" t="s">
        <v>778</v>
      </c>
      <c r="X105" s="33"/>
      <c r="Y105" s="33"/>
      <c r="Z105" s="33"/>
      <c r="AA105" s="33">
        <v>1.4697209333226699E+24</v>
      </c>
      <c r="AB105" s="33" t="s">
        <v>46</v>
      </c>
    </row>
    <row r="106" spans="1:28" x14ac:dyDescent="0.25">
      <c r="A106" s="33">
        <v>14697209333</v>
      </c>
      <c r="B106" s="34">
        <v>46128.959143518521</v>
      </c>
      <c r="C106" s="33" t="s">
        <v>649</v>
      </c>
      <c r="D106" s="33" t="s">
        <v>443</v>
      </c>
      <c r="E106" s="33" t="s">
        <v>778</v>
      </c>
      <c r="F106" s="33"/>
      <c r="G106" s="33" t="s">
        <v>239</v>
      </c>
      <c r="H106" s="33" t="s">
        <v>53</v>
      </c>
      <c r="I106" s="33" t="s">
        <v>36</v>
      </c>
      <c r="J106" s="33" t="s">
        <v>37</v>
      </c>
      <c r="K106" s="33">
        <v>1985023781566</v>
      </c>
      <c r="L106" s="35">
        <v>46136</v>
      </c>
      <c r="M106" s="36">
        <v>0.4375</v>
      </c>
      <c r="N106" s="33" t="s">
        <v>41</v>
      </c>
      <c r="O106" s="33" t="s">
        <v>42</v>
      </c>
      <c r="P106" s="33">
        <v>1</v>
      </c>
      <c r="Q106" s="33"/>
      <c r="R106" s="33" t="s">
        <v>43</v>
      </c>
      <c r="S106" s="33" t="s">
        <v>44</v>
      </c>
      <c r="T106" s="33">
        <v>25</v>
      </c>
      <c r="U106" s="33" t="s">
        <v>649</v>
      </c>
      <c r="V106" s="33" t="s">
        <v>443</v>
      </c>
      <c r="W106" s="33" t="s">
        <v>778</v>
      </c>
      <c r="X106" s="33"/>
      <c r="Y106" s="33"/>
      <c r="Z106" s="33"/>
      <c r="AA106" s="33">
        <v>1.4697209333226699E+24</v>
      </c>
      <c r="AB106" s="33" t="s">
        <v>46</v>
      </c>
    </row>
    <row r="107" spans="1:28" x14ac:dyDescent="0.25">
      <c r="A107" s="33">
        <v>14697219823</v>
      </c>
      <c r="B107" s="34">
        <v>46128.961076388892</v>
      </c>
      <c r="C107" s="33" t="s">
        <v>779</v>
      </c>
      <c r="D107" s="33" t="s">
        <v>780</v>
      </c>
      <c r="E107" s="33" t="s">
        <v>781</v>
      </c>
      <c r="F107" s="33"/>
      <c r="G107" s="33" t="s">
        <v>239</v>
      </c>
      <c r="H107" s="33" t="s">
        <v>53</v>
      </c>
      <c r="I107" s="33" t="s">
        <v>36</v>
      </c>
      <c r="J107" s="33" t="s">
        <v>37</v>
      </c>
      <c r="K107" s="33">
        <v>1985023781566</v>
      </c>
      <c r="L107" s="35">
        <v>46136</v>
      </c>
      <c r="M107" s="36">
        <v>0.4375</v>
      </c>
      <c r="N107" s="33" t="s">
        <v>41</v>
      </c>
      <c r="O107" s="33" t="s">
        <v>42</v>
      </c>
      <c r="P107" s="33">
        <v>1</v>
      </c>
      <c r="Q107" s="33"/>
      <c r="R107" s="33" t="s">
        <v>43</v>
      </c>
      <c r="S107" s="33" t="s">
        <v>44</v>
      </c>
      <c r="T107" s="33">
        <v>25</v>
      </c>
      <c r="U107" s="33" t="s">
        <v>652</v>
      </c>
      <c r="V107" s="33" t="s">
        <v>782</v>
      </c>
      <c r="W107" s="33" t="s">
        <v>783</v>
      </c>
      <c r="X107" s="33"/>
      <c r="Y107" s="33"/>
      <c r="Z107" s="33"/>
      <c r="AA107" s="33">
        <v>1.4697219823226699E+24</v>
      </c>
      <c r="AB107" s="33" t="s">
        <v>46</v>
      </c>
    </row>
    <row r="108" spans="1:28" x14ac:dyDescent="0.25">
      <c r="A108" s="33">
        <v>14697219823</v>
      </c>
      <c r="B108" s="34">
        <v>46128.961076388892</v>
      </c>
      <c r="C108" s="33" t="s">
        <v>652</v>
      </c>
      <c r="D108" s="33" t="s">
        <v>782</v>
      </c>
      <c r="E108" s="33" t="s">
        <v>783</v>
      </c>
      <c r="F108" s="33"/>
      <c r="G108" s="33" t="s">
        <v>239</v>
      </c>
      <c r="H108" s="33" t="s">
        <v>53</v>
      </c>
      <c r="I108" s="33" t="s">
        <v>36</v>
      </c>
      <c r="J108" s="33" t="s">
        <v>37</v>
      </c>
      <c r="K108" s="33">
        <v>1985023781566</v>
      </c>
      <c r="L108" s="35">
        <v>46136</v>
      </c>
      <c r="M108" s="36">
        <v>0.4375</v>
      </c>
      <c r="N108" s="33" t="s">
        <v>41</v>
      </c>
      <c r="O108" s="33" t="s">
        <v>42</v>
      </c>
      <c r="P108" s="33">
        <v>1</v>
      </c>
      <c r="Q108" s="33"/>
      <c r="R108" s="33" t="s">
        <v>43</v>
      </c>
      <c r="S108" s="33" t="s">
        <v>44</v>
      </c>
      <c r="T108" s="33">
        <v>25</v>
      </c>
      <c r="U108" s="33" t="s">
        <v>652</v>
      </c>
      <c r="V108" s="33" t="s">
        <v>782</v>
      </c>
      <c r="W108" s="33" t="s">
        <v>783</v>
      </c>
      <c r="X108" s="33"/>
      <c r="Y108" s="33"/>
      <c r="Z108" s="33"/>
      <c r="AA108" s="33">
        <v>1.4697219823226699E+24</v>
      </c>
      <c r="AB108" s="33" t="s">
        <v>46</v>
      </c>
    </row>
    <row r="109" spans="1:28" x14ac:dyDescent="0.25">
      <c r="A109" s="33">
        <v>14697253563</v>
      </c>
      <c r="B109" s="34">
        <v>46128.967685185184</v>
      </c>
      <c r="C109" s="33" t="s">
        <v>687</v>
      </c>
      <c r="D109" s="33" t="s">
        <v>688</v>
      </c>
      <c r="E109" s="33" t="s">
        <v>751</v>
      </c>
      <c r="F109" s="33"/>
      <c r="G109" s="33" t="s">
        <v>239</v>
      </c>
      <c r="H109" s="33" t="s">
        <v>53</v>
      </c>
      <c r="I109" s="33" t="s">
        <v>36</v>
      </c>
      <c r="J109" s="33" t="s">
        <v>37</v>
      </c>
      <c r="K109" s="33">
        <v>1985023781566</v>
      </c>
      <c r="L109" s="35">
        <v>46136</v>
      </c>
      <c r="M109" s="36">
        <v>0.4375</v>
      </c>
      <c r="N109" s="33" t="s">
        <v>41</v>
      </c>
      <c r="O109" s="33" t="s">
        <v>42</v>
      </c>
      <c r="P109" s="33">
        <v>1</v>
      </c>
      <c r="Q109" s="33"/>
      <c r="R109" s="33" t="s">
        <v>43</v>
      </c>
      <c r="S109" s="33" t="s">
        <v>44</v>
      </c>
      <c r="T109" s="33">
        <v>25</v>
      </c>
      <c r="U109" s="33" t="s">
        <v>687</v>
      </c>
      <c r="V109" s="33" t="s">
        <v>688</v>
      </c>
      <c r="W109" s="33" t="s">
        <v>751</v>
      </c>
      <c r="X109" s="33"/>
      <c r="Y109" s="33"/>
      <c r="Z109" s="33"/>
      <c r="AA109" s="33">
        <v>1.4697253563226699E+24</v>
      </c>
      <c r="AB109" s="33" t="s">
        <v>46</v>
      </c>
    </row>
    <row r="110" spans="1:28" x14ac:dyDescent="0.25">
      <c r="A110" s="47">
        <v>14697256453</v>
      </c>
      <c r="B110" s="48">
        <v>46128.968298611115</v>
      </c>
      <c r="C110" s="47" t="s">
        <v>798</v>
      </c>
      <c r="D110" s="47" t="s">
        <v>162</v>
      </c>
      <c r="E110" s="47" t="s">
        <v>751</v>
      </c>
      <c r="F110" s="47"/>
      <c r="G110" s="47" t="s">
        <v>239</v>
      </c>
      <c r="H110" s="47" t="s">
        <v>53</v>
      </c>
      <c r="I110" s="47" t="s">
        <v>36</v>
      </c>
      <c r="J110" s="47" t="s">
        <v>37</v>
      </c>
      <c r="K110" s="47">
        <v>1985023781566</v>
      </c>
      <c r="L110" s="49">
        <v>46136</v>
      </c>
      <c r="M110" s="50">
        <v>0.4375</v>
      </c>
      <c r="N110" s="47" t="s">
        <v>41</v>
      </c>
      <c r="O110" s="47" t="s">
        <v>42</v>
      </c>
      <c r="P110" s="47">
        <v>1</v>
      </c>
      <c r="Q110" s="47"/>
      <c r="R110" s="47" t="s">
        <v>43</v>
      </c>
      <c r="S110" s="47" t="s">
        <v>44</v>
      </c>
      <c r="T110" s="47">
        <v>25</v>
      </c>
      <c r="U110" s="47" t="s">
        <v>687</v>
      </c>
      <c r="V110" s="47" t="s">
        <v>688</v>
      </c>
      <c r="W110" s="47" t="s">
        <v>751</v>
      </c>
      <c r="X110" s="47"/>
      <c r="Y110" s="47"/>
      <c r="Z110" s="47"/>
      <c r="AA110" s="47"/>
      <c r="AB110" s="47" t="s">
        <v>46</v>
      </c>
    </row>
    <row r="111" spans="1:28" x14ac:dyDescent="0.25">
      <c r="A111" s="61" t="s">
        <v>556</v>
      </c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>
        <v>109</v>
      </c>
      <c r="Q111" s="61"/>
      <c r="R111" s="61"/>
      <c r="S111" s="61"/>
      <c r="T111" s="61">
        <v>2675</v>
      </c>
      <c r="U111" s="61"/>
      <c r="V111" s="61"/>
      <c r="W111" s="61"/>
      <c r="X111" s="61"/>
      <c r="Y111" s="61"/>
      <c r="Z111" s="61"/>
      <c r="AA111" s="61"/>
      <c r="AB111" s="6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2"/>
  <sheetViews>
    <sheetView workbookViewId="0">
      <selection activeCell="G13" sqref="G13"/>
    </sheetView>
  </sheetViews>
  <sheetFormatPr defaultRowHeight="15" x14ac:dyDescent="0.25"/>
  <cols>
    <col min="1" max="1" width="11.7109375" bestFit="1" customWidth="1"/>
    <col min="2" max="2" width="17.42578125" bestFit="1" customWidth="1"/>
    <col min="3" max="3" width="18.140625" bestFit="1" customWidth="1"/>
    <col min="4" max="4" width="17.7109375" bestFit="1" customWidth="1"/>
    <col min="5" max="5" width="40.140625" bestFit="1" customWidth="1"/>
    <col min="6" max="6" width="13.5703125" bestFit="1" customWidth="1"/>
    <col min="7" max="7" width="16.140625" bestFit="1" customWidth="1"/>
    <col min="8" max="8" width="14" bestFit="1" customWidth="1"/>
    <col min="9" max="9" width="16.140625" bestFit="1" customWidth="1"/>
    <col min="10" max="10" width="35" bestFit="1" customWidth="1"/>
    <col min="11" max="11" width="13.7109375" bestFit="1" customWidth="1"/>
    <col min="12" max="12" width="14.28515625" bestFit="1" customWidth="1"/>
    <col min="13" max="13" width="14.42578125" bestFit="1" customWidth="1"/>
    <col min="14" max="14" width="15.28515625" bestFit="1" customWidth="1"/>
    <col min="15" max="15" width="19.140625" bestFit="1" customWidth="1"/>
    <col min="16" max="16" width="13.5703125" bestFit="1" customWidth="1"/>
    <col min="17" max="17" width="9.28515625" bestFit="1" customWidth="1"/>
    <col min="18" max="18" width="41.140625" bestFit="1" customWidth="1"/>
    <col min="19" max="19" width="8.42578125" bestFit="1" customWidth="1"/>
    <col min="20" max="20" width="10.5703125" bestFit="1" customWidth="1"/>
    <col min="21" max="21" width="38.7109375" bestFit="1" customWidth="1"/>
    <col min="22" max="22" width="14.42578125" bestFit="1" customWidth="1"/>
    <col min="23" max="23" width="40.140625" bestFit="1" customWidth="1"/>
    <col min="24" max="26" width="15.85546875" bestFit="1" customWidth="1"/>
    <col min="27" max="27" width="25.85546875" bestFit="1" customWidth="1"/>
    <col min="28" max="28" width="5.71093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111</v>
      </c>
      <c r="B2" t="s">
        <v>112</v>
      </c>
      <c r="C2" t="s">
        <v>113</v>
      </c>
      <c r="D2" t="s">
        <v>114</v>
      </c>
      <c r="E2" t="s">
        <v>115</v>
      </c>
      <c r="F2" t="s">
        <v>33</v>
      </c>
      <c r="G2" t="s">
        <v>33</v>
      </c>
      <c r="H2" t="s">
        <v>116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>
        <v>1</v>
      </c>
      <c r="Q2" t="s">
        <v>33</v>
      </c>
      <c r="R2" t="s">
        <v>43</v>
      </c>
      <c r="S2" t="s">
        <v>44</v>
      </c>
      <c r="T2" s="8">
        <v>0</v>
      </c>
      <c r="U2" t="s">
        <v>113</v>
      </c>
      <c r="V2" t="s">
        <v>114</v>
      </c>
      <c r="W2" t="s">
        <v>115</v>
      </c>
      <c r="X2" t="s">
        <v>33</v>
      </c>
      <c r="Y2" t="s">
        <v>33</v>
      </c>
      <c r="Z2" t="s">
        <v>33</v>
      </c>
      <c r="AA2" t="s">
        <v>117</v>
      </c>
      <c r="AB2" t="s">
        <v>46</v>
      </c>
    </row>
    <row r="3" spans="1:28" x14ac:dyDescent="0.25">
      <c r="A3" s="1" t="s">
        <v>556</v>
      </c>
      <c r="B3" s="1" t="s">
        <v>33</v>
      </c>
      <c r="C3" s="1" t="s">
        <v>33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>
        <f>SUM(P1:P2)</f>
        <v>1</v>
      </c>
      <c r="Q3" s="1" t="s">
        <v>33</v>
      </c>
      <c r="R3" s="1" t="s">
        <v>33</v>
      </c>
      <c r="S3" s="1" t="s">
        <v>33</v>
      </c>
      <c r="T3" s="1">
        <f>SUM(T1:T2)</f>
        <v>0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33</v>
      </c>
      <c r="AA3" s="1" t="s">
        <v>33</v>
      </c>
      <c r="AB3" s="1" t="s">
        <v>33</v>
      </c>
    </row>
    <row r="4" spans="1:28" x14ac:dyDescent="0.25">
      <c r="A4" t="s">
        <v>236</v>
      </c>
      <c r="B4" t="s">
        <v>237</v>
      </c>
      <c r="C4" t="s">
        <v>442</v>
      </c>
      <c r="D4" t="s">
        <v>443</v>
      </c>
      <c r="E4" t="s">
        <v>238</v>
      </c>
      <c r="F4" t="s">
        <v>33</v>
      </c>
      <c r="G4" t="s">
        <v>239</v>
      </c>
      <c r="H4" t="s">
        <v>53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O4" t="s">
        <v>42</v>
      </c>
      <c r="P4">
        <v>1</v>
      </c>
      <c r="Q4" t="s">
        <v>33</v>
      </c>
      <c r="R4" t="s">
        <v>43</v>
      </c>
      <c r="S4" t="s">
        <v>44</v>
      </c>
      <c r="T4" s="8">
        <v>0</v>
      </c>
      <c r="U4" t="s">
        <v>442</v>
      </c>
      <c r="V4" t="s">
        <v>443</v>
      </c>
      <c r="W4" t="s">
        <v>238</v>
      </c>
      <c r="X4" t="s">
        <v>33</v>
      </c>
      <c r="Y4" t="s">
        <v>33</v>
      </c>
      <c r="Z4" t="s">
        <v>33</v>
      </c>
      <c r="AA4" t="s">
        <v>240</v>
      </c>
      <c r="AB4" t="s">
        <v>46</v>
      </c>
    </row>
    <row r="5" spans="1:28" x14ac:dyDescent="0.25">
      <c r="A5" t="s">
        <v>264</v>
      </c>
      <c r="B5" t="s">
        <v>265</v>
      </c>
      <c r="C5" t="s">
        <v>266</v>
      </c>
      <c r="D5" t="s">
        <v>267</v>
      </c>
      <c r="E5" t="s">
        <v>268</v>
      </c>
      <c r="F5" t="s">
        <v>33</v>
      </c>
      <c r="G5" t="s">
        <v>239</v>
      </c>
      <c r="H5" t="s">
        <v>53</v>
      </c>
      <c r="I5" t="s">
        <v>36</v>
      </c>
      <c r="J5" t="s">
        <v>37</v>
      </c>
      <c r="K5" t="s">
        <v>38</v>
      </c>
      <c r="L5" t="s">
        <v>39</v>
      </c>
      <c r="M5" t="s">
        <v>40</v>
      </c>
      <c r="N5" t="s">
        <v>41</v>
      </c>
      <c r="O5" t="s">
        <v>42</v>
      </c>
      <c r="P5">
        <v>1</v>
      </c>
      <c r="Q5" t="s">
        <v>33</v>
      </c>
      <c r="R5" t="s">
        <v>43</v>
      </c>
      <c r="S5" t="s">
        <v>44</v>
      </c>
      <c r="T5" s="8">
        <v>25</v>
      </c>
      <c r="U5" t="s">
        <v>266</v>
      </c>
      <c r="V5" t="s">
        <v>267</v>
      </c>
      <c r="W5" t="s">
        <v>268</v>
      </c>
      <c r="X5" t="s">
        <v>33</v>
      </c>
      <c r="Y5" t="s">
        <v>33</v>
      </c>
      <c r="Z5" t="s">
        <v>33</v>
      </c>
      <c r="AA5" t="s">
        <v>269</v>
      </c>
      <c r="AB5" t="s">
        <v>46</v>
      </c>
    </row>
    <row r="6" spans="1:28" x14ac:dyDescent="0.25">
      <c r="A6" t="s">
        <v>283</v>
      </c>
      <c r="B6" t="s">
        <v>284</v>
      </c>
      <c r="C6" t="s">
        <v>285</v>
      </c>
      <c r="D6" t="s">
        <v>286</v>
      </c>
      <c r="E6" t="s">
        <v>287</v>
      </c>
      <c r="F6" t="s">
        <v>33</v>
      </c>
      <c r="G6" t="s">
        <v>239</v>
      </c>
      <c r="H6" t="s">
        <v>53</v>
      </c>
      <c r="I6" t="s">
        <v>36</v>
      </c>
      <c r="J6" t="s">
        <v>37</v>
      </c>
      <c r="K6" t="s">
        <v>38</v>
      </c>
      <c r="L6" t="s">
        <v>39</v>
      </c>
      <c r="M6" t="s">
        <v>40</v>
      </c>
      <c r="N6" t="s">
        <v>41</v>
      </c>
      <c r="O6" t="s">
        <v>42</v>
      </c>
      <c r="P6">
        <v>1</v>
      </c>
      <c r="Q6" t="s">
        <v>33</v>
      </c>
      <c r="R6" t="s">
        <v>43</v>
      </c>
      <c r="S6" t="s">
        <v>44</v>
      </c>
      <c r="T6" s="8">
        <v>0</v>
      </c>
      <c r="U6" t="s">
        <v>285</v>
      </c>
      <c r="V6" t="s">
        <v>286</v>
      </c>
      <c r="W6" t="s">
        <v>287</v>
      </c>
      <c r="X6" t="s">
        <v>33</v>
      </c>
      <c r="Y6" t="s">
        <v>33</v>
      </c>
      <c r="Z6" t="s">
        <v>33</v>
      </c>
      <c r="AA6" t="s">
        <v>288</v>
      </c>
      <c r="AB6" t="s">
        <v>46</v>
      </c>
    </row>
    <row r="7" spans="1:28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>
        <v>1</v>
      </c>
      <c r="Q7" t="s">
        <v>33</v>
      </c>
      <c r="R7" t="s">
        <v>43</v>
      </c>
      <c r="S7" t="s">
        <v>44</v>
      </c>
      <c r="T7" s="8">
        <v>25</v>
      </c>
      <c r="U7" t="s">
        <v>30</v>
      </c>
      <c r="V7" t="s">
        <v>31</v>
      </c>
      <c r="W7" t="s">
        <v>32</v>
      </c>
      <c r="X7" t="s">
        <v>33</v>
      </c>
      <c r="Y7" t="s">
        <v>33</v>
      </c>
      <c r="Z7" t="s">
        <v>33</v>
      </c>
      <c r="AA7" t="s">
        <v>45</v>
      </c>
      <c r="AB7" t="s">
        <v>46</v>
      </c>
    </row>
    <row r="8" spans="1:28" x14ac:dyDescent="0.25">
      <c r="A8" t="s">
        <v>147</v>
      </c>
      <c r="B8" t="s">
        <v>148</v>
      </c>
      <c r="C8" t="s">
        <v>149</v>
      </c>
      <c r="D8" t="s">
        <v>150</v>
      </c>
      <c r="E8" t="s">
        <v>151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40</v>
      </c>
      <c r="N8" t="s">
        <v>41</v>
      </c>
      <c r="O8" t="s">
        <v>42</v>
      </c>
      <c r="P8">
        <v>1</v>
      </c>
      <c r="Q8" t="s">
        <v>33</v>
      </c>
      <c r="R8" t="s">
        <v>43</v>
      </c>
      <c r="S8" t="s">
        <v>44</v>
      </c>
      <c r="T8" s="8">
        <v>0</v>
      </c>
      <c r="U8" t="s">
        <v>149</v>
      </c>
      <c r="V8" t="s">
        <v>150</v>
      </c>
      <c r="W8" t="s">
        <v>151</v>
      </c>
      <c r="X8" t="s">
        <v>33</v>
      </c>
      <c r="Y8" t="s">
        <v>33</v>
      </c>
      <c r="Z8" t="s">
        <v>33</v>
      </c>
      <c r="AA8" t="s">
        <v>152</v>
      </c>
      <c r="AB8" t="s">
        <v>46</v>
      </c>
    </row>
    <row r="9" spans="1:28" x14ac:dyDescent="0.25">
      <c r="A9" t="s">
        <v>252</v>
      </c>
      <c r="B9" t="s">
        <v>253</v>
      </c>
      <c r="C9" t="s">
        <v>254</v>
      </c>
      <c r="D9" t="s">
        <v>255</v>
      </c>
      <c r="E9" t="s">
        <v>256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40</v>
      </c>
      <c r="N9" t="s">
        <v>41</v>
      </c>
      <c r="O9" t="s">
        <v>42</v>
      </c>
      <c r="P9">
        <v>1</v>
      </c>
      <c r="Q9" t="s">
        <v>33</v>
      </c>
      <c r="R9" t="s">
        <v>43</v>
      </c>
      <c r="S9" t="s">
        <v>44</v>
      </c>
      <c r="T9" s="8">
        <v>25</v>
      </c>
      <c r="U9" t="s">
        <v>254</v>
      </c>
      <c r="V9" t="s">
        <v>255</v>
      </c>
      <c r="W9" t="s">
        <v>256</v>
      </c>
      <c r="X9" t="s">
        <v>33</v>
      </c>
      <c r="Y9" t="s">
        <v>33</v>
      </c>
      <c r="Z9" t="s">
        <v>33</v>
      </c>
      <c r="AA9" t="s">
        <v>257</v>
      </c>
      <c r="AB9" t="s">
        <v>46</v>
      </c>
    </row>
    <row r="10" spans="1:28" x14ac:dyDescent="0.25">
      <c r="A10" t="s">
        <v>277</v>
      </c>
      <c r="B10" t="s">
        <v>278</v>
      </c>
      <c r="C10" t="s">
        <v>279</v>
      </c>
      <c r="D10" t="s">
        <v>280</v>
      </c>
      <c r="E10" t="s">
        <v>281</v>
      </c>
      <c r="F10" t="s">
        <v>33</v>
      </c>
      <c r="G10" t="s">
        <v>34</v>
      </c>
      <c r="H10" t="s">
        <v>35</v>
      </c>
      <c r="I10" t="s">
        <v>36</v>
      </c>
      <c r="J10" t="s">
        <v>37</v>
      </c>
      <c r="K10" t="s">
        <v>38</v>
      </c>
      <c r="L10" t="s">
        <v>39</v>
      </c>
      <c r="M10" t="s">
        <v>40</v>
      </c>
      <c r="N10" t="s">
        <v>41</v>
      </c>
      <c r="O10" t="s">
        <v>42</v>
      </c>
      <c r="P10">
        <v>1</v>
      </c>
      <c r="Q10" t="s">
        <v>33</v>
      </c>
      <c r="R10" t="s">
        <v>142</v>
      </c>
      <c r="S10" t="s">
        <v>44</v>
      </c>
      <c r="T10" s="8">
        <v>250</v>
      </c>
      <c r="U10" t="s">
        <v>279</v>
      </c>
      <c r="V10" t="s">
        <v>280</v>
      </c>
      <c r="W10" t="s">
        <v>281</v>
      </c>
      <c r="X10" t="s">
        <v>33</v>
      </c>
      <c r="Y10" t="s">
        <v>33</v>
      </c>
      <c r="Z10" t="s">
        <v>33</v>
      </c>
      <c r="AA10" t="s">
        <v>282</v>
      </c>
      <c r="AB10" t="s">
        <v>46</v>
      </c>
    </row>
    <row r="11" spans="1:28" x14ac:dyDescent="0.25">
      <c r="A11" t="s">
        <v>413</v>
      </c>
      <c r="B11" t="s">
        <v>414</v>
      </c>
      <c r="C11" t="s">
        <v>138</v>
      </c>
      <c r="D11" t="s">
        <v>139</v>
      </c>
      <c r="E11" t="s">
        <v>140</v>
      </c>
      <c r="F11" t="s">
        <v>33</v>
      </c>
      <c r="G11" t="s">
        <v>34</v>
      </c>
      <c r="H11" t="s">
        <v>35</v>
      </c>
      <c r="I11" t="s">
        <v>36</v>
      </c>
      <c r="J11" t="s">
        <v>37</v>
      </c>
      <c r="K11" t="s">
        <v>38</v>
      </c>
      <c r="L11" t="s">
        <v>39</v>
      </c>
      <c r="M11" t="s">
        <v>40</v>
      </c>
      <c r="N11" t="s">
        <v>41</v>
      </c>
      <c r="O11" t="s">
        <v>42</v>
      </c>
      <c r="P11">
        <v>1</v>
      </c>
      <c r="Q11" t="s">
        <v>33</v>
      </c>
      <c r="R11" t="s">
        <v>43</v>
      </c>
      <c r="S11" t="s">
        <v>44</v>
      </c>
      <c r="T11" s="8">
        <v>0</v>
      </c>
      <c r="U11" t="s">
        <v>138</v>
      </c>
      <c r="V11" t="s">
        <v>139</v>
      </c>
      <c r="W11" t="s">
        <v>140</v>
      </c>
      <c r="X11" t="s">
        <v>33</v>
      </c>
      <c r="Y11" t="s">
        <v>33</v>
      </c>
      <c r="Z11" t="s">
        <v>33</v>
      </c>
      <c r="AA11" t="s">
        <v>415</v>
      </c>
      <c r="AB11" t="s">
        <v>46</v>
      </c>
    </row>
    <row r="12" spans="1:28" x14ac:dyDescent="0.25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33</v>
      </c>
      <c r="G12" t="s">
        <v>84</v>
      </c>
      <c r="H12" t="s">
        <v>53</v>
      </c>
      <c r="I12" t="s">
        <v>36</v>
      </c>
      <c r="J12" t="s">
        <v>37</v>
      </c>
      <c r="K12" t="s">
        <v>38</v>
      </c>
      <c r="L12" t="s">
        <v>39</v>
      </c>
      <c r="M12" t="s">
        <v>40</v>
      </c>
      <c r="N12" t="s">
        <v>41</v>
      </c>
      <c r="O12" t="s">
        <v>42</v>
      </c>
      <c r="P12">
        <v>1</v>
      </c>
      <c r="Q12" t="s">
        <v>33</v>
      </c>
      <c r="R12" t="s">
        <v>43</v>
      </c>
      <c r="S12" t="s">
        <v>44</v>
      </c>
      <c r="T12" s="8">
        <v>25</v>
      </c>
      <c r="U12" t="s">
        <v>81</v>
      </c>
      <c r="V12" t="s">
        <v>82</v>
      </c>
      <c r="W12" t="s">
        <v>83</v>
      </c>
      <c r="X12" t="s">
        <v>33</v>
      </c>
      <c r="Y12" t="s">
        <v>33</v>
      </c>
      <c r="Z12" t="s">
        <v>33</v>
      </c>
      <c r="AA12" t="s">
        <v>85</v>
      </c>
      <c r="AB12" t="s">
        <v>46</v>
      </c>
    </row>
    <row r="13" spans="1:28" x14ac:dyDescent="0.25">
      <c r="A13" t="s">
        <v>526</v>
      </c>
      <c r="B13" t="s">
        <v>527</v>
      </c>
      <c r="C13" t="s">
        <v>528</v>
      </c>
      <c r="D13" t="s">
        <v>529</v>
      </c>
      <c r="E13" t="s">
        <v>530</v>
      </c>
      <c r="F13" t="s">
        <v>33</v>
      </c>
      <c r="G13" t="s">
        <v>84</v>
      </c>
      <c r="H13" t="s">
        <v>53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>
        <v>1</v>
      </c>
      <c r="Q13" t="s">
        <v>33</v>
      </c>
      <c r="R13" t="s">
        <v>43</v>
      </c>
      <c r="S13" t="s">
        <v>44</v>
      </c>
      <c r="T13" s="8">
        <v>25</v>
      </c>
      <c r="U13" t="s">
        <v>528</v>
      </c>
      <c r="V13" t="s">
        <v>529</v>
      </c>
      <c r="W13" t="s">
        <v>530</v>
      </c>
      <c r="X13" t="s">
        <v>33</v>
      </c>
      <c r="Y13" t="s">
        <v>33</v>
      </c>
      <c r="Z13" t="s">
        <v>33</v>
      </c>
      <c r="AA13" t="s">
        <v>531</v>
      </c>
      <c r="AB13" t="s">
        <v>46</v>
      </c>
    </row>
    <row r="14" spans="1:28" x14ac:dyDescent="0.25">
      <c r="A14" t="s">
        <v>270</v>
      </c>
      <c r="B14" t="s">
        <v>271</v>
      </c>
      <c r="C14" t="s">
        <v>272</v>
      </c>
      <c r="D14" t="s">
        <v>273</v>
      </c>
      <c r="E14" t="s">
        <v>274</v>
      </c>
      <c r="F14" t="s">
        <v>33</v>
      </c>
      <c r="G14" t="s">
        <v>275</v>
      </c>
      <c r="H14" t="s">
        <v>53</v>
      </c>
      <c r="I14" t="s">
        <v>36</v>
      </c>
      <c r="J14" t="s">
        <v>37</v>
      </c>
      <c r="K14" t="s">
        <v>38</v>
      </c>
      <c r="L14" t="s">
        <v>39</v>
      </c>
      <c r="M14" t="s">
        <v>40</v>
      </c>
      <c r="N14" t="s">
        <v>41</v>
      </c>
      <c r="O14" t="s">
        <v>42</v>
      </c>
      <c r="P14">
        <v>1</v>
      </c>
      <c r="Q14" t="s">
        <v>33</v>
      </c>
      <c r="R14" t="s">
        <v>43</v>
      </c>
      <c r="S14" t="s">
        <v>44</v>
      </c>
      <c r="T14" s="8">
        <v>25</v>
      </c>
      <c r="U14" t="s">
        <v>272</v>
      </c>
      <c r="V14" t="s">
        <v>273</v>
      </c>
      <c r="W14" t="s">
        <v>274</v>
      </c>
      <c r="X14" t="s">
        <v>33</v>
      </c>
      <c r="Y14" t="s">
        <v>33</v>
      </c>
      <c r="Z14" t="s">
        <v>33</v>
      </c>
      <c r="AA14" t="s">
        <v>276</v>
      </c>
      <c r="AB14" t="s">
        <v>46</v>
      </c>
    </row>
    <row r="15" spans="1:28" x14ac:dyDescent="0.25">
      <c r="A15" t="s">
        <v>544</v>
      </c>
      <c r="B15" t="s">
        <v>545</v>
      </c>
      <c r="C15" t="s">
        <v>633</v>
      </c>
      <c r="D15" t="s">
        <v>634</v>
      </c>
      <c r="E15" t="s">
        <v>548</v>
      </c>
      <c r="F15" t="s">
        <v>33</v>
      </c>
      <c r="G15" t="s">
        <v>275</v>
      </c>
      <c r="H15" t="s">
        <v>53</v>
      </c>
      <c r="I15" t="s">
        <v>36</v>
      </c>
      <c r="J15" t="s">
        <v>37</v>
      </c>
      <c r="K15" t="s">
        <v>38</v>
      </c>
      <c r="L15" t="s">
        <v>39</v>
      </c>
      <c r="M15" t="s">
        <v>40</v>
      </c>
      <c r="N15" t="s">
        <v>41</v>
      </c>
      <c r="O15" t="s">
        <v>42</v>
      </c>
      <c r="P15">
        <v>1</v>
      </c>
      <c r="Q15" t="s">
        <v>33</v>
      </c>
      <c r="R15" t="s">
        <v>176</v>
      </c>
      <c r="S15" t="s">
        <v>44</v>
      </c>
      <c r="T15" s="8">
        <v>0</v>
      </c>
      <c r="U15" t="s">
        <v>546</v>
      </c>
      <c r="V15" t="s">
        <v>547</v>
      </c>
      <c r="W15" t="s">
        <v>548</v>
      </c>
      <c r="X15" t="s">
        <v>33</v>
      </c>
      <c r="Y15" t="s">
        <v>33</v>
      </c>
      <c r="Z15" t="s">
        <v>33</v>
      </c>
      <c r="AA15" t="s">
        <v>549</v>
      </c>
      <c r="AB15" t="s">
        <v>46</v>
      </c>
    </row>
    <row r="16" spans="1:28" x14ac:dyDescent="0.25">
      <c r="A16" t="s">
        <v>125</v>
      </c>
      <c r="B16" t="s">
        <v>126</v>
      </c>
      <c r="C16" t="s">
        <v>127</v>
      </c>
      <c r="D16" t="s">
        <v>128</v>
      </c>
      <c r="E16" t="s">
        <v>129</v>
      </c>
      <c r="F16" t="s">
        <v>33</v>
      </c>
      <c r="G16" t="s">
        <v>130</v>
      </c>
      <c r="H16" t="s">
        <v>35</v>
      </c>
      <c r="I16" t="s">
        <v>36</v>
      </c>
      <c r="J16" t="s">
        <v>37</v>
      </c>
      <c r="K16" t="s">
        <v>38</v>
      </c>
      <c r="L16" t="s">
        <v>39</v>
      </c>
      <c r="M16" t="s">
        <v>40</v>
      </c>
      <c r="N16" t="s">
        <v>41</v>
      </c>
      <c r="O16" t="s">
        <v>42</v>
      </c>
      <c r="P16">
        <v>1</v>
      </c>
      <c r="Q16" t="s">
        <v>33</v>
      </c>
      <c r="R16" t="s">
        <v>43</v>
      </c>
      <c r="S16" t="s">
        <v>44</v>
      </c>
      <c r="T16" s="8">
        <v>25</v>
      </c>
      <c r="U16" t="s">
        <v>131</v>
      </c>
      <c r="V16" t="s">
        <v>132</v>
      </c>
      <c r="W16" t="s">
        <v>133</v>
      </c>
      <c r="X16" t="s">
        <v>33</v>
      </c>
      <c r="Y16" t="s">
        <v>33</v>
      </c>
      <c r="Z16" t="s">
        <v>33</v>
      </c>
      <c r="AA16" t="s">
        <v>134</v>
      </c>
      <c r="AB16" t="s">
        <v>46</v>
      </c>
    </row>
    <row r="17" spans="1:28" x14ac:dyDescent="0.25">
      <c r="A17" t="s">
        <v>125</v>
      </c>
      <c r="B17" t="s">
        <v>126</v>
      </c>
      <c r="C17" t="s">
        <v>131</v>
      </c>
      <c r="D17" t="s">
        <v>132</v>
      </c>
      <c r="E17" t="s">
        <v>133</v>
      </c>
      <c r="F17" t="s">
        <v>33</v>
      </c>
      <c r="G17" t="s">
        <v>130</v>
      </c>
      <c r="H17" t="s">
        <v>35</v>
      </c>
      <c r="I17" t="s">
        <v>36</v>
      </c>
      <c r="J17" t="s">
        <v>37</v>
      </c>
      <c r="K17" t="s">
        <v>38</v>
      </c>
      <c r="L17" t="s">
        <v>39</v>
      </c>
      <c r="M17" t="s">
        <v>40</v>
      </c>
      <c r="N17" t="s">
        <v>41</v>
      </c>
      <c r="O17" t="s">
        <v>42</v>
      </c>
      <c r="P17">
        <v>1</v>
      </c>
      <c r="Q17" t="s">
        <v>33</v>
      </c>
      <c r="R17" t="s">
        <v>43</v>
      </c>
      <c r="S17" t="s">
        <v>44</v>
      </c>
      <c r="T17" s="8">
        <v>25</v>
      </c>
      <c r="U17" t="s">
        <v>131</v>
      </c>
      <c r="V17" t="s">
        <v>132</v>
      </c>
      <c r="W17" t="s">
        <v>133</v>
      </c>
      <c r="X17" t="s">
        <v>33</v>
      </c>
      <c r="Y17" t="s">
        <v>33</v>
      </c>
      <c r="Z17" t="s">
        <v>33</v>
      </c>
      <c r="AA17" t="s">
        <v>135</v>
      </c>
      <c r="AB17" t="s">
        <v>46</v>
      </c>
    </row>
    <row r="18" spans="1:28" x14ac:dyDescent="0.25">
      <c r="A18" t="s">
        <v>513</v>
      </c>
      <c r="B18" t="s">
        <v>514</v>
      </c>
      <c r="C18" t="s">
        <v>515</v>
      </c>
      <c r="D18" t="s">
        <v>516</v>
      </c>
      <c r="E18" t="s">
        <v>517</v>
      </c>
      <c r="F18" t="s">
        <v>33</v>
      </c>
      <c r="G18" t="s">
        <v>518</v>
      </c>
      <c r="H18" t="s">
        <v>53</v>
      </c>
      <c r="I18" t="s">
        <v>36</v>
      </c>
      <c r="J18" t="s">
        <v>37</v>
      </c>
      <c r="K18" t="s">
        <v>38</v>
      </c>
      <c r="L18" t="s">
        <v>39</v>
      </c>
      <c r="M18" t="s">
        <v>40</v>
      </c>
      <c r="N18" t="s">
        <v>41</v>
      </c>
      <c r="O18" t="s">
        <v>42</v>
      </c>
      <c r="P18">
        <v>1</v>
      </c>
      <c r="Q18" t="s">
        <v>33</v>
      </c>
      <c r="R18" t="s">
        <v>43</v>
      </c>
      <c r="S18" t="s">
        <v>44</v>
      </c>
      <c r="T18" s="8">
        <v>25</v>
      </c>
      <c r="U18" t="s">
        <v>515</v>
      </c>
      <c r="V18" t="s">
        <v>516</v>
      </c>
      <c r="W18" t="s">
        <v>517</v>
      </c>
      <c r="X18" t="s">
        <v>33</v>
      </c>
      <c r="Y18" t="s">
        <v>33</v>
      </c>
      <c r="Z18" t="s">
        <v>33</v>
      </c>
      <c r="AA18" t="s">
        <v>519</v>
      </c>
      <c r="AB18" t="s">
        <v>46</v>
      </c>
    </row>
    <row r="19" spans="1:28" x14ac:dyDescent="0.25">
      <c r="A19" t="s">
        <v>308</v>
      </c>
      <c r="B19" t="s">
        <v>309</v>
      </c>
      <c r="C19" t="s">
        <v>310</v>
      </c>
      <c r="D19" t="s">
        <v>311</v>
      </c>
      <c r="E19" t="s">
        <v>312</v>
      </c>
      <c r="F19" t="s">
        <v>33</v>
      </c>
      <c r="G19" t="s">
        <v>313</v>
      </c>
      <c r="H19" t="s">
        <v>314</v>
      </c>
      <c r="I19" t="s">
        <v>36</v>
      </c>
      <c r="J19" t="s">
        <v>37</v>
      </c>
      <c r="K19" t="s">
        <v>38</v>
      </c>
      <c r="L19" t="s">
        <v>39</v>
      </c>
      <c r="M19" t="s">
        <v>40</v>
      </c>
      <c r="N19" t="s">
        <v>41</v>
      </c>
      <c r="O19" t="s">
        <v>42</v>
      </c>
      <c r="P19">
        <v>1</v>
      </c>
      <c r="Q19" t="s">
        <v>33</v>
      </c>
      <c r="R19" t="s">
        <v>54</v>
      </c>
      <c r="S19" t="s">
        <v>44</v>
      </c>
      <c r="T19" s="8">
        <v>0</v>
      </c>
      <c r="U19" t="s">
        <v>310</v>
      </c>
      <c r="V19" t="s">
        <v>311</v>
      </c>
      <c r="W19" t="s">
        <v>312</v>
      </c>
      <c r="X19" t="s">
        <v>33</v>
      </c>
      <c r="Y19" t="s">
        <v>33</v>
      </c>
      <c r="Z19" t="s">
        <v>33</v>
      </c>
      <c r="AA19" t="s">
        <v>315</v>
      </c>
      <c r="AB19" t="s">
        <v>46</v>
      </c>
    </row>
    <row r="20" spans="1:28" x14ac:dyDescent="0.25">
      <c r="A20" t="s">
        <v>136</v>
      </c>
      <c r="B20" t="s">
        <v>137</v>
      </c>
      <c r="C20" t="s">
        <v>138</v>
      </c>
      <c r="D20" t="s">
        <v>139</v>
      </c>
      <c r="E20" t="s">
        <v>140</v>
      </c>
      <c r="F20" t="s">
        <v>33</v>
      </c>
      <c r="G20" t="s">
        <v>141</v>
      </c>
      <c r="H20" t="s">
        <v>35</v>
      </c>
      <c r="I20" t="s">
        <v>36</v>
      </c>
      <c r="J20" t="s">
        <v>37</v>
      </c>
      <c r="K20" t="s">
        <v>38</v>
      </c>
      <c r="L20" t="s">
        <v>39</v>
      </c>
      <c r="M20" t="s">
        <v>40</v>
      </c>
      <c r="N20" t="s">
        <v>41</v>
      </c>
      <c r="O20" t="s">
        <v>42</v>
      </c>
      <c r="P20">
        <v>1</v>
      </c>
      <c r="Q20" t="s">
        <v>33</v>
      </c>
      <c r="R20" t="s">
        <v>142</v>
      </c>
      <c r="S20" t="s">
        <v>44</v>
      </c>
      <c r="T20" s="8">
        <v>250</v>
      </c>
      <c r="U20" t="s">
        <v>143</v>
      </c>
      <c r="V20" t="s">
        <v>144</v>
      </c>
      <c r="W20" t="s">
        <v>145</v>
      </c>
      <c r="X20" t="s">
        <v>33</v>
      </c>
      <c r="Y20" t="s">
        <v>33</v>
      </c>
      <c r="Z20" t="s">
        <v>33</v>
      </c>
      <c r="AA20" t="s">
        <v>146</v>
      </c>
      <c r="AB20" t="s">
        <v>46</v>
      </c>
    </row>
    <row r="21" spans="1:28" x14ac:dyDescent="0.25">
      <c r="A21" t="s">
        <v>423</v>
      </c>
      <c r="B21" t="s">
        <v>424</v>
      </c>
      <c r="C21" t="s">
        <v>425</v>
      </c>
      <c r="D21" t="s">
        <v>426</v>
      </c>
      <c r="E21" t="s">
        <v>427</v>
      </c>
      <c r="F21" t="s">
        <v>33</v>
      </c>
      <c r="G21" t="s">
        <v>428</v>
      </c>
      <c r="H21" t="s">
        <v>429</v>
      </c>
      <c r="I21" t="s">
        <v>36</v>
      </c>
      <c r="J21" t="s">
        <v>37</v>
      </c>
      <c r="K21" t="s">
        <v>38</v>
      </c>
      <c r="L21" t="s">
        <v>39</v>
      </c>
      <c r="M21" t="s">
        <v>40</v>
      </c>
      <c r="N21" t="s">
        <v>41</v>
      </c>
      <c r="O21" t="s">
        <v>42</v>
      </c>
      <c r="P21">
        <v>1</v>
      </c>
      <c r="Q21" t="s">
        <v>33</v>
      </c>
      <c r="R21" t="s">
        <v>43</v>
      </c>
      <c r="S21" t="s">
        <v>44</v>
      </c>
      <c r="T21" s="8">
        <v>25</v>
      </c>
      <c r="U21" t="s">
        <v>425</v>
      </c>
      <c r="V21" t="s">
        <v>426</v>
      </c>
      <c r="W21" t="s">
        <v>427</v>
      </c>
      <c r="X21" t="s">
        <v>33</v>
      </c>
      <c r="Y21" t="s">
        <v>33</v>
      </c>
      <c r="Z21" t="s">
        <v>33</v>
      </c>
      <c r="AA21" t="s">
        <v>430</v>
      </c>
      <c r="AB21" t="s">
        <v>46</v>
      </c>
    </row>
    <row r="22" spans="1:28" x14ac:dyDescent="0.25">
      <c r="A22" t="s">
        <v>170</v>
      </c>
      <c r="B22" t="s">
        <v>171</v>
      </c>
      <c r="C22" t="s">
        <v>172</v>
      </c>
      <c r="D22" t="s">
        <v>173</v>
      </c>
      <c r="E22" t="s">
        <v>174</v>
      </c>
      <c r="F22" t="s">
        <v>33</v>
      </c>
      <c r="G22" t="s">
        <v>175</v>
      </c>
      <c r="H22" t="s">
        <v>53</v>
      </c>
      <c r="I22" t="s">
        <v>36</v>
      </c>
      <c r="J22" t="s">
        <v>37</v>
      </c>
      <c r="K22" t="s">
        <v>38</v>
      </c>
      <c r="L22" t="s">
        <v>39</v>
      </c>
      <c r="M22" t="s">
        <v>40</v>
      </c>
      <c r="N22" t="s">
        <v>41</v>
      </c>
      <c r="O22" t="s">
        <v>42</v>
      </c>
      <c r="P22">
        <v>1</v>
      </c>
      <c r="Q22" t="s">
        <v>33</v>
      </c>
      <c r="R22" t="s">
        <v>176</v>
      </c>
      <c r="S22" t="s">
        <v>44</v>
      </c>
      <c r="T22" s="8">
        <v>0</v>
      </c>
      <c r="U22" t="s">
        <v>172</v>
      </c>
      <c r="V22" t="s">
        <v>173</v>
      </c>
      <c r="W22" t="s">
        <v>174</v>
      </c>
      <c r="X22" t="s">
        <v>33</v>
      </c>
      <c r="Y22" t="s">
        <v>33</v>
      </c>
      <c r="Z22" t="s">
        <v>33</v>
      </c>
      <c r="AA22" t="s">
        <v>177</v>
      </c>
      <c r="AB22" t="s">
        <v>46</v>
      </c>
    </row>
    <row r="23" spans="1:28" x14ac:dyDescent="0.25">
      <c r="A23" t="s">
        <v>188</v>
      </c>
      <c r="B23" t="s">
        <v>189</v>
      </c>
      <c r="C23" t="s">
        <v>190</v>
      </c>
      <c r="D23" t="s">
        <v>191</v>
      </c>
      <c r="E23" t="s">
        <v>192</v>
      </c>
      <c r="F23" t="s">
        <v>33</v>
      </c>
      <c r="G23" t="s">
        <v>175</v>
      </c>
      <c r="H23" t="s">
        <v>53</v>
      </c>
      <c r="I23" t="s">
        <v>36</v>
      </c>
      <c r="J23" t="s">
        <v>37</v>
      </c>
      <c r="K23" t="s">
        <v>38</v>
      </c>
      <c r="L23" t="s">
        <v>39</v>
      </c>
      <c r="M23" t="s">
        <v>40</v>
      </c>
      <c r="N23" t="s">
        <v>41</v>
      </c>
      <c r="O23" t="s">
        <v>42</v>
      </c>
      <c r="P23">
        <v>1</v>
      </c>
      <c r="Q23" t="s">
        <v>33</v>
      </c>
      <c r="R23" t="s">
        <v>43</v>
      </c>
      <c r="S23" t="s">
        <v>44</v>
      </c>
      <c r="T23" s="8">
        <v>25</v>
      </c>
      <c r="U23" t="s">
        <v>190</v>
      </c>
      <c r="V23" t="s">
        <v>191</v>
      </c>
      <c r="W23" t="s">
        <v>192</v>
      </c>
      <c r="X23" t="s">
        <v>33</v>
      </c>
      <c r="Y23" t="s">
        <v>33</v>
      </c>
      <c r="Z23" t="s">
        <v>33</v>
      </c>
      <c r="AA23" t="s">
        <v>193</v>
      </c>
      <c r="AB23" t="s">
        <v>46</v>
      </c>
    </row>
    <row r="24" spans="1:28" x14ac:dyDescent="0.25">
      <c r="A24" t="s">
        <v>378</v>
      </c>
      <c r="B24" t="s">
        <v>379</v>
      </c>
      <c r="C24" t="s">
        <v>155</v>
      </c>
      <c r="D24" t="s">
        <v>155</v>
      </c>
      <c r="E24" t="s">
        <v>155</v>
      </c>
      <c r="F24" t="s">
        <v>33</v>
      </c>
      <c r="G24" t="s">
        <v>175</v>
      </c>
      <c r="H24" t="s">
        <v>53</v>
      </c>
      <c r="I24" t="s">
        <v>36</v>
      </c>
      <c r="J24" t="s">
        <v>37</v>
      </c>
      <c r="K24" t="s">
        <v>38</v>
      </c>
      <c r="L24" t="s">
        <v>39</v>
      </c>
      <c r="M24" t="s">
        <v>40</v>
      </c>
      <c r="N24" t="s">
        <v>41</v>
      </c>
      <c r="O24" t="s">
        <v>42</v>
      </c>
      <c r="P24">
        <v>1</v>
      </c>
      <c r="Q24" t="s">
        <v>33</v>
      </c>
      <c r="R24" t="s">
        <v>176</v>
      </c>
      <c r="S24" t="s">
        <v>44</v>
      </c>
      <c r="T24" s="8">
        <v>0</v>
      </c>
      <c r="U24" t="s">
        <v>380</v>
      </c>
      <c r="V24" t="s">
        <v>381</v>
      </c>
      <c r="W24" t="s">
        <v>382</v>
      </c>
      <c r="X24" t="s">
        <v>33</v>
      </c>
      <c r="Y24" t="s">
        <v>33</v>
      </c>
      <c r="Z24" t="s">
        <v>33</v>
      </c>
      <c r="AA24" t="s">
        <v>383</v>
      </c>
      <c r="AB24" t="s">
        <v>46</v>
      </c>
    </row>
    <row r="25" spans="1:28" x14ac:dyDescent="0.25">
      <c r="A25" t="s">
        <v>378</v>
      </c>
      <c r="B25" t="s">
        <v>379</v>
      </c>
      <c r="C25" t="s">
        <v>155</v>
      </c>
      <c r="D25" t="s">
        <v>155</v>
      </c>
      <c r="E25" t="s">
        <v>155</v>
      </c>
      <c r="F25" t="s">
        <v>33</v>
      </c>
      <c r="G25" t="s">
        <v>175</v>
      </c>
      <c r="H25" t="s">
        <v>53</v>
      </c>
      <c r="I25" t="s">
        <v>36</v>
      </c>
      <c r="J25" t="s">
        <v>37</v>
      </c>
      <c r="K25" t="s">
        <v>38</v>
      </c>
      <c r="L25" t="s">
        <v>39</v>
      </c>
      <c r="M25" t="s">
        <v>40</v>
      </c>
      <c r="N25" t="s">
        <v>41</v>
      </c>
      <c r="O25" t="s">
        <v>42</v>
      </c>
      <c r="P25">
        <v>1</v>
      </c>
      <c r="Q25" t="s">
        <v>33</v>
      </c>
      <c r="R25" t="s">
        <v>176</v>
      </c>
      <c r="S25" t="s">
        <v>44</v>
      </c>
      <c r="T25" s="8">
        <v>0</v>
      </c>
      <c r="U25" t="s">
        <v>380</v>
      </c>
      <c r="V25" t="s">
        <v>381</v>
      </c>
      <c r="W25" t="s">
        <v>382</v>
      </c>
      <c r="X25" t="s">
        <v>33</v>
      </c>
      <c r="Y25" t="s">
        <v>33</v>
      </c>
      <c r="Z25" t="s">
        <v>33</v>
      </c>
      <c r="AA25" t="s">
        <v>384</v>
      </c>
      <c r="AB25" t="s">
        <v>46</v>
      </c>
    </row>
    <row r="26" spans="1:28" x14ac:dyDescent="0.25">
      <c r="A26" t="s">
        <v>378</v>
      </c>
      <c r="B26" t="s">
        <v>379</v>
      </c>
      <c r="C26" t="s">
        <v>155</v>
      </c>
      <c r="D26" t="s">
        <v>155</v>
      </c>
      <c r="E26" t="s">
        <v>155</v>
      </c>
      <c r="F26" t="s">
        <v>33</v>
      </c>
      <c r="G26" t="s">
        <v>175</v>
      </c>
      <c r="H26" t="s">
        <v>53</v>
      </c>
      <c r="I26" t="s">
        <v>36</v>
      </c>
      <c r="J26" t="s">
        <v>37</v>
      </c>
      <c r="K26" t="s">
        <v>38</v>
      </c>
      <c r="L26" t="s">
        <v>39</v>
      </c>
      <c r="M26" t="s">
        <v>40</v>
      </c>
      <c r="N26" t="s">
        <v>41</v>
      </c>
      <c r="O26" t="s">
        <v>42</v>
      </c>
      <c r="P26">
        <v>1</v>
      </c>
      <c r="Q26" t="s">
        <v>33</v>
      </c>
      <c r="R26" t="s">
        <v>176</v>
      </c>
      <c r="S26" t="s">
        <v>44</v>
      </c>
      <c r="T26" s="8">
        <v>0</v>
      </c>
      <c r="U26" t="s">
        <v>380</v>
      </c>
      <c r="V26" t="s">
        <v>381</v>
      </c>
      <c r="W26" t="s">
        <v>382</v>
      </c>
      <c r="X26" t="s">
        <v>33</v>
      </c>
      <c r="Y26" t="s">
        <v>33</v>
      </c>
      <c r="Z26" t="s">
        <v>33</v>
      </c>
      <c r="AA26" t="s">
        <v>385</v>
      </c>
      <c r="AB26" t="s">
        <v>46</v>
      </c>
    </row>
    <row r="27" spans="1:28" x14ac:dyDescent="0.25">
      <c r="A27" t="s">
        <v>378</v>
      </c>
      <c r="B27" t="s">
        <v>379</v>
      </c>
      <c r="C27" t="s">
        <v>155</v>
      </c>
      <c r="D27" t="s">
        <v>155</v>
      </c>
      <c r="E27" t="s">
        <v>155</v>
      </c>
      <c r="F27" t="s">
        <v>33</v>
      </c>
      <c r="G27" t="s">
        <v>175</v>
      </c>
      <c r="H27" t="s">
        <v>53</v>
      </c>
      <c r="I27" t="s">
        <v>36</v>
      </c>
      <c r="J27" t="s">
        <v>37</v>
      </c>
      <c r="K27" t="s">
        <v>38</v>
      </c>
      <c r="L27" t="s">
        <v>39</v>
      </c>
      <c r="M27" t="s">
        <v>40</v>
      </c>
      <c r="N27" t="s">
        <v>41</v>
      </c>
      <c r="O27" t="s">
        <v>42</v>
      </c>
      <c r="P27">
        <v>1</v>
      </c>
      <c r="Q27" t="s">
        <v>33</v>
      </c>
      <c r="R27" t="s">
        <v>176</v>
      </c>
      <c r="S27" t="s">
        <v>44</v>
      </c>
      <c r="T27" s="8">
        <v>0</v>
      </c>
      <c r="U27" t="s">
        <v>380</v>
      </c>
      <c r="V27" t="s">
        <v>381</v>
      </c>
      <c r="W27" t="s">
        <v>382</v>
      </c>
      <c r="X27" t="s">
        <v>33</v>
      </c>
      <c r="Y27" t="s">
        <v>33</v>
      </c>
      <c r="Z27" t="s">
        <v>33</v>
      </c>
      <c r="AA27" t="s">
        <v>386</v>
      </c>
      <c r="AB27" t="s">
        <v>46</v>
      </c>
    </row>
    <row r="28" spans="1:28" x14ac:dyDescent="0.25">
      <c r="A28" t="s">
        <v>178</v>
      </c>
      <c r="B28" t="s">
        <v>179</v>
      </c>
      <c r="C28" t="s">
        <v>180</v>
      </c>
      <c r="D28" t="s">
        <v>181</v>
      </c>
      <c r="E28" t="s">
        <v>182</v>
      </c>
      <c r="F28" t="s">
        <v>33</v>
      </c>
      <c r="G28" t="s">
        <v>183</v>
      </c>
      <c r="H28" t="s">
        <v>53</v>
      </c>
      <c r="I28" t="s">
        <v>36</v>
      </c>
      <c r="J28" t="s">
        <v>37</v>
      </c>
      <c r="K28" t="s">
        <v>38</v>
      </c>
      <c r="L28" t="s">
        <v>39</v>
      </c>
      <c r="M28" t="s">
        <v>40</v>
      </c>
      <c r="N28" t="s">
        <v>41</v>
      </c>
      <c r="O28" t="s">
        <v>42</v>
      </c>
      <c r="P28">
        <v>1</v>
      </c>
      <c r="Q28" t="s">
        <v>33</v>
      </c>
      <c r="R28" t="s">
        <v>184</v>
      </c>
      <c r="S28" t="s">
        <v>44</v>
      </c>
      <c r="T28" s="8">
        <v>1000</v>
      </c>
      <c r="U28" t="s">
        <v>185</v>
      </c>
      <c r="V28" t="s">
        <v>186</v>
      </c>
      <c r="W28" t="s">
        <v>182</v>
      </c>
      <c r="X28" t="s">
        <v>33</v>
      </c>
      <c r="Y28" t="s">
        <v>33</v>
      </c>
      <c r="Z28" t="s">
        <v>33</v>
      </c>
      <c r="AA28" t="s">
        <v>187</v>
      </c>
      <c r="AB28" t="s">
        <v>46</v>
      </c>
    </row>
    <row r="29" spans="1:28" x14ac:dyDescent="0.25">
      <c r="A29" t="s">
        <v>47</v>
      </c>
      <c r="B29" t="s">
        <v>48</v>
      </c>
      <c r="C29" t="s">
        <v>49</v>
      </c>
      <c r="D29" t="s">
        <v>50</v>
      </c>
      <c r="E29" t="s">
        <v>51</v>
      </c>
      <c r="F29" t="s">
        <v>33</v>
      </c>
      <c r="G29" t="s">
        <v>52</v>
      </c>
      <c r="H29" t="s">
        <v>53</v>
      </c>
      <c r="I29" t="s">
        <v>36</v>
      </c>
      <c r="J29" t="s">
        <v>37</v>
      </c>
      <c r="K29" t="s">
        <v>38</v>
      </c>
      <c r="L29" t="s">
        <v>39</v>
      </c>
      <c r="M29" t="s">
        <v>40</v>
      </c>
      <c r="N29" t="s">
        <v>41</v>
      </c>
      <c r="O29" t="s">
        <v>42</v>
      </c>
      <c r="P29">
        <v>1</v>
      </c>
      <c r="Q29" t="s">
        <v>33</v>
      </c>
      <c r="R29" t="s">
        <v>54</v>
      </c>
      <c r="S29" t="s">
        <v>44</v>
      </c>
      <c r="T29" s="8">
        <v>0</v>
      </c>
      <c r="U29" t="s">
        <v>49</v>
      </c>
      <c r="V29" t="s">
        <v>50</v>
      </c>
      <c r="W29" t="s">
        <v>51</v>
      </c>
      <c r="X29" t="s">
        <v>33</v>
      </c>
      <c r="Y29" t="s">
        <v>33</v>
      </c>
      <c r="Z29" t="s">
        <v>33</v>
      </c>
      <c r="AA29" t="s">
        <v>55</v>
      </c>
      <c r="AB29" t="s">
        <v>46</v>
      </c>
    </row>
    <row r="30" spans="1:28" x14ac:dyDescent="0.25">
      <c r="A30" t="s">
        <v>73</v>
      </c>
      <c r="B30" t="s">
        <v>74</v>
      </c>
      <c r="C30" t="s">
        <v>75</v>
      </c>
      <c r="D30" t="s">
        <v>76</v>
      </c>
      <c r="E30" t="s">
        <v>77</v>
      </c>
      <c r="F30" t="s">
        <v>33</v>
      </c>
      <c r="G30" t="s">
        <v>52</v>
      </c>
      <c r="H30" t="s">
        <v>53</v>
      </c>
      <c r="I30" t="s">
        <v>36</v>
      </c>
      <c r="J30" t="s">
        <v>37</v>
      </c>
      <c r="K30" t="s">
        <v>38</v>
      </c>
      <c r="L30" t="s">
        <v>39</v>
      </c>
      <c r="M30" t="s">
        <v>40</v>
      </c>
      <c r="N30" t="s">
        <v>41</v>
      </c>
      <c r="O30" t="s">
        <v>42</v>
      </c>
      <c r="P30">
        <v>1</v>
      </c>
      <c r="Q30" t="s">
        <v>33</v>
      </c>
      <c r="R30" t="s">
        <v>43</v>
      </c>
      <c r="S30" t="s">
        <v>44</v>
      </c>
      <c r="T30" s="8">
        <v>25</v>
      </c>
      <c r="U30" t="s">
        <v>75</v>
      </c>
      <c r="V30" t="s">
        <v>76</v>
      </c>
      <c r="W30" t="s">
        <v>77</v>
      </c>
      <c r="X30" t="s">
        <v>33</v>
      </c>
      <c r="Y30" t="s">
        <v>33</v>
      </c>
      <c r="Z30" t="s">
        <v>33</v>
      </c>
      <c r="AA30" t="s">
        <v>78</v>
      </c>
      <c r="AB30" t="s">
        <v>46</v>
      </c>
    </row>
    <row r="31" spans="1:28" x14ac:dyDescent="0.25">
      <c r="A31" t="s">
        <v>86</v>
      </c>
      <c r="B31" t="s">
        <v>87</v>
      </c>
      <c r="C31" t="s">
        <v>88</v>
      </c>
      <c r="D31" t="s">
        <v>89</v>
      </c>
      <c r="E31" t="s">
        <v>90</v>
      </c>
      <c r="F31" t="s">
        <v>33</v>
      </c>
      <c r="G31" t="s">
        <v>52</v>
      </c>
      <c r="H31" t="s">
        <v>53</v>
      </c>
      <c r="I31" t="s">
        <v>36</v>
      </c>
      <c r="J31" t="s">
        <v>37</v>
      </c>
      <c r="K31" t="s">
        <v>38</v>
      </c>
      <c r="L31" t="s">
        <v>39</v>
      </c>
      <c r="M31" t="s">
        <v>40</v>
      </c>
      <c r="N31" t="s">
        <v>41</v>
      </c>
      <c r="O31" t="s">
        <v>42</v>
      </c>
      <c r="P31">
        <v>1</v>
      </c>
      <c r="Q31" t="s">
        <v>33</v>
      </c>
      <c r="R31" t="s">
        <v>54</v>
      </c>
      <c r="S31" t="s">
        <v>44</v>
      </c>
      <c r="T31" s="8">
        <v>0</v>
      </c>
      <c r="U31" t="s">
        <v>88</v>
      </c>
      <c r="V31" t="s">
        <v>89</v>
      </c>
      <c r="W31" t="s">
        <v>90</v>
      </c>
      <c r="X31" t="s">
        <v>33</v>
      </c>
      <c r="Y31" t="s">
        <v>33</v>
      </c>
      <c r="Z31" t="s">
        <v>33</v>
      </c>
      <c r="AA31" t="s">
        <v>91</v>
      </c>
      <c r="AB31" t="s">
        <v>46</v>
      </c>
    </row>
    <row r="32" spans="1:28" x14ac:dyDescent="0.25">
      <c r="A32" t="s">
        <v>92</v>
      </c>
      <c r="B32" t="s">
        <v>93</v>
      </c>
      <c r="C32" t="s">
        <v>94</v>
      </c>
      <c r="D32" t="s">
        <v>96</v>
      </c>
      <c r="E32" t="s">
        <v>95</v>
      </c>
      <c r="F32" t="s">
        <v>33</v>
      </c>
      <c r="G32" t="s">
        <v>52</v>
      </c>
      <c r="H32" t="s">
        <v>53</v>
      </c>
      <c r="I32" t="s">
        <v>36</v>
      </c>
      <c r="J32" t="s">
        <v>37</v>
      </c>
      <c r="K32" t="s">
        <v>38</v>
      </c>
      <c r="L32" t="s">
        <v>39</v>
      </c>
      <c r="M32" t="s">
        <v>40</v>
      </c>
      <c r="N32" t="s">
        <v>41</v>
      </c>
      <c r="O32" t="s">
        <v>42</v>
      </c>
      <c r="P32">
        <v>1</v>
      </c>
      <c r="Q32" t="s">
        <v>33</v>
      </c>
      <c r="R32" t="s">
        <v>54</v>
      </c>
      <c r="S32" t="s">
        <v>44</v>
      </c>
      <c r="T32" s="8">
        <v>0</v>
      </c>
      <c r="U32" t="s">
        <v>94</v>
      </c>
      <c r="V32" t="s">
        <v>96</v>
      </c>
      <c r="W32" t="s">
        <v>95</v>
      </c>
      <c r="X32" t="s">
        <v>33</v>
      </c>
      <c r="Y32" t="s">
        <v>33</v>
      </c>
      <c r="Z32" t="s">
        <v>33</v>
      </c>
      <c r="AA32" t="s">
        <v>97</v>
      </c>
      <c r="AB32" t="s">
        <v>46</v>
      </c>
    </row>
    <row r="33" spans="1:28" x14ac:dyDescent="0.25">
      <c r="A33" t="s">
        <v>98</v>
      </c>
      <c r="B33" t="s">
        <v>99</v>
      </c>
      <c r="C33" t="s">
        <v>100</v>
      </c>
      <c r="D33" t="s">
        <v>101</v>
      </c>
      <c r="E33" t="s">
        <v>102</v>
      </c>
      <c r="F33" t="s">
        <v>33</v>
      </c>
      <c r="G33" t="s">
        <v>52</v>
      </c>
      <c r="H33" t="s">
        <v>53</v>
      </c>
      <c r="I33" t="s">
        <v>36</v>
      </c>
      <c r="J33" t="s">
        <v>37</v>
      </c>
      <c r="K33" t="s">
        <v>38</v>
      </c>
      <c r="L33" t="s">
        <v>39</v>
      </c>
      <c r="M33" t="s">
        <v>40</v>
      </c>
      <c r="N33" t="s">
        <v>41</v>
      </c>
      <c r="O33" t="s">
        <v>42</v>
      </c>
      <c r="P33">
        <v>1</v>
      </c>
      <c r="Q33" t="s">
        <v>33</v>
      </c>
      <c r="R33" t="s">
        <v>54</v>
      </c>
      <c r="S33" t="s">
        <v>44</v>
      </c>
      <c r="T33" s="8">
        <v>0</v>
      </c>
      <c r="U33" t="s">
        <v>100</v>
      </c>
      <c r="V33" t="s">
        <v>101</v>
      </c>
      <c r="W33" t="s">
        <v>102</v>
      </c>
      <c r="X33" t="s">
        <v>33</v>
      </c>
      <c r="Y33" t="s">
        <v>33</v>
      </c>
      <c r="Z33" t="s">
        <v>33</v>
      </c>
      <c r="AA33" t="s">
        <v>103</v>
      </c>
      <c r="AB33" t="s">
        <v>46</v>
      </c>
    </row>
    <row r="34" spans="1:28" x14ac:dyDescent="0.25">
      <c r="A34" t="s">
        <v>153</v>
      </c>
      <c r="B34" t="s">
        <v>154</v>
      </c>
      <c r="C34" t="s">
        <v>155</v>
      </c>
      <c r="D34" t="s">
        <v>155</v>
      </c>
      <c r="E34" t="s">
        <v>155</v>
      </c>
      <c r="F34" t="s">
        <v>33</v>
      </c>
      <c r="G34" t="s">
        <v>52</v>
      </c>
      <c r="H34" t="s">
        <v>53</v>
      </c>
      <c r="I34" t="s">
        <v>36</v>
      </c>
      <c r="J34" t="s">
        <v>37</v>
      </c>
      <c r="K34" t="s">
        <v>38</v>
      </c>
      <c r="L34" t="s">
        <v>39</v>
      </c>
      <c r="M34" t="s">
        <v>40</v>
      </c>
      <c r="N34" t="s">
        <v>41</v>
      </c>
      <c r="O34" t="s">
        <v>42</v>
      </c>
      <c r="P34">
        <v>1</v>
      </c>
      <c r="Q34" t="s">
        <v>33</v>
      </c>
      <c r="R34" t="s">
        <v>54</v>
      </c>
      <c r="S34" t="s">
        <v>44</v>
      </c>
      <c r="T34" s="8">
        <v>0</v>
      </c>
      <c r="U34" t="s">
        <v>156</v>
      </c>
      <c r="V34" t="s">
        <v>157</v>
      </c>
      <c r="W34" t="s">
        <v>158</v>
      </c>
      <c r="X34" t="s">
        <v>33</v>
      </c>
      <c r="Y34" t="s">
        <v>33</v>
      </c>
      <c r="Z34" t="s">
        <v>33</v>
      </c>
      <c r="AA34" t="s">
        <v>159</v>
      </c>
      <c r="AB34" t="s">
        <v>46</v>
      </c>
    </row>
    <row r="35" spans="1:28" x14ac:dyDescent="0.25">
      <c r="A35" t="s">
        <v>194</v>
      </c>
      <c r="B35" t="s">
        <v>195</v>
      </c>
      <c r="C35" t="s">
        <v>196</v>
      </c>
      <c r="D35" t="s">
        <v>197</v>
      </c>
      <c r="E35" t="s">
        <v>198</v>
      </c>
      <c r="F35" t="s">
        <v>33</v>
      </c>
      <c r="G35" t="s">
        <v>52</v>
      </c>
      <c r="H35" t="s">
        <v>53</v>
      </c>
      <c r="I35" t="s">
        <v>36</v>
      </c>
      <c r="J35" t="s">
        <v>37</v>
      </c>
      <c r="K35" t="s">
        <v>38</v>
      </c>
      <c r="L35" t="s">
        <v>39</v>
      </c>
      <c r="M35" t="s">
        <v>40</v>
      </c>
      <c r="N35" t="s">
        <v>41</v>
      </c>
      <c r="O35" t="s">
        <v>42</v>
      </c>
      <c r="P35">
        <v>1</v>
      </c>
      <c r="Q35" t="s">
        <v>33</v>
      </c>
      <c r="R35" t="s">
        <v>54</v>
      </c>
      <c r="S35" t="s">
        <v>44</v>
      </c>
      <c r="T35" s="8">
        <v>0</v>
      </c>
      <c r="U35" t="s">
        <v>196</v>
      </c>
      <c r="V35" t="s">
        <v>197</v>
      </c>
      <c r="W35" t="s">
        <v>198</v>
      </c>
      <c r="X35" t="s">
        <v>33</v>
      </c>
      <c r="Y35" t="s">
        <v>33</v>
      </c>
      <c r="Z35" t="s">
        <v>33</v>
      </c>
      <c r="AA35" t="s">
        <v>199</v>
      </c>
      <c r="AB35" t="s">
        <v>46</v>
      </c>
    </row>
    <row r="36" spans="1:28" x14ac:dyDescent="0.25">
      <c r="A36" t="s">
        <v>200</v>
      </c>
      <c r="B36" t="s">
        <v>201</v>
      </c>
      <c r="C36" t="s">
        <v>202</v>
      </c>
      <c r="D36" t="s">
        <v>203</v>
      </c>
      <c r="E36" t="s">
        <v>204</v>
      </c>
      <c r="F36" t="s">
        <v>33</v>
      </c>
      <c r="G36" t="s">
        <v>52</v>
      </c>
      <c r="H36" t="s">
        <v>53</v>
      </c>
      <c r="I36" t="s">
        <v>36</v>
      </c>
      <c r="J36" t="s">
        <v>37</v>
      </c>
      <c r="K36" t="s">
        <v>38</v>
      </c>
      <c r="L36" t="s">
        <v>39</v>
      </c>
      <c r="M36" t="s">
        <v>40</v>
      </c>
      <c r="N36" t="s">
        <v>41</v>
      </c>
      <c r="O36" t="s">
        <v>42</v>
      </c>
      <c r="P36">
        <v>1</v>
      </c>
      <c r="Q36" t="s">
        <v>33</v>
      </c>
      <c r="R36" t="s">
        <v>54</v>
      </c>
      <c r="S36" t="s">
        <v>44</v>
      </c>
      <c r="T36" s="8">
        <v>0</v>
      </c>
      <c r="U36" t="s">
        <v>202</v>
      </c>
      <c r="V36" t="s">
        <v>203</v>
      </c>
      <c r="W36" t="s">
        <v>204</v>
      </c>
      <c r="X36" t="s">
        <v>33</v>
      </c>
      <c r="Y36" t="s">
        <v>33</v>
      </c>
      <c r="Z36" t="s">
        <v>33</v>
      </c>
      <c r="AA36" t="s">
        <v>205</v>
      </c>
      <c r="AB36" t="s">
        <v>46</v>
      </c>
    </row>
    <row r="37" spans="1:28" x14ac:dyDescent="0.25">
      <c r="A37" t="s">
        <v>206</v>
      </c>
      <c r="B37" t="s">
        <v>207</v>
      </c>
      <c r="C37" t="s">
        <v>208</v>
      </c>
      <c r="D37" t="s">
        <v>209</v>
      </c>
      <c r="E37" t="s">
        <v>210</v>
      </c>
      <c r="F37" t="s">
        <v>33</v>
      </c>
      <c r="G37" t="s">
        <v>52</v>
      </c>
      <c r="H37" t="s">
        <v>53</v>
      </c>
      <c r="I37" t="s">
        <v>36</v>
      </c>
      <c r="J37" t="s">
        <v>37</v>
      </c>
      <c r="K37" t="s">
        <v>38</v>
      </c>
      <c r="L37" t="s">
        <v>39</v>
      </c>
      <c r="M37" t="s">
        <v>40</v>
      </c>
      <c r="N37" t="s">
        <v>41</v>
      </c>
      <c r="O37" t="s">
        <v>42</v>
      </c>
      <c r="P37">
        <v>1</v>
      </c>
      <c r="Q37" t="s">
        <v>33</v>
      </c>
      <c r="R37" t="s">
        <v>54</v>
      </c>
      <c r="S37" t="s">
        <v>44</v>
      </c>
      <c r="T37" s="8">
        <v>0</v>
      </c>
      <c r="U37" t="s">
        <v>208</v>
      </c>
      <c r="V37" t="s">
        <v>209</v>
      </c>
      <c r="W37" t="s">
        <v>210</v>
      </c>
      <c r="X37" t="s">
        <v>33</v>
      </c>
      <c r="Y37" t="s">
        <v>33</v>
      </c>
      <c r="Z37" t="s">
        <v>33</v>
      </c>
      <c r="AA37" t="s">
        <v>211</v>
      </c>
      <c r="AB37" t="s">
        <v>46</v>
      </c>
    </row>
    <row r="38" spans="1:28" x14ac:dyDescent="0.25">
      <c r="A38" t="s">
        <v>212</v>
      </c>
      <c r="B38" t="s">
        <v>213</v>
      </c>
      <c r="C38" t="s">
        <v>214</v>
      </c>
      <c r="D38" t="s">
        <v>215</v>
      </c>
      <c r="E38" t="s">
        <v>216</v>
      </c>
      <c r="F38" t="s">
        <v>33</v>
      </c>
      <c r="G38" t="s">
        <v>52</v>
      </c>
      <c r="H38" t="s">
        <v>53</v>
      </c>
      <c r="I38" t="s">
        <v>36</v>
      </c>
      <c r="J38" t="s">
        <v>37</v>
      </c>
      <c r="K38" t="s">
        <v>38</v>
      </c>
      <c r="L38" t="s">
        <v>39</v>
      </c>
      <c r="M38" t="s">
        <v>40</v>
      </c>
      <c r="N38" t="s">
        <v>41</v>
      </c>
      <c r="O38" t="s">
        <v>42</v>
      </c>
      <c r="P38">
        <v>1</v>
      </c>
      <c r="Q38" t="s">
        <v>33</v>
      </c>
      <c r="R38" t="s">
        <v>54</v>
      </c>
      <c r="S38" t="s">
        <v>44</v>
      </c>
      <c r="T38" s="8">
        <v>0</v>
      </c>
      <c r="U38" t="s">
        <v>214</v>
      </c>
      <c r="V38" t="s">
        <v>215</v>
      </c>
      <c r="W38" t="s">
        <v>216</v>
      </c>
      <c r="X38" t="s">
        <v>33</v>
      </c>
      <c r="Y38" t="s">
        <v>33</v>
      </c>
      <c r="Z38" t="s">
        <v>33</v>
      </c>
      <c r="AA38" t="s">
        <v>217</v>
      </c>
      <c r="AB38" t="s">
        <v>46</v>
      </c>
    </row>
    <row r="39" spans="1:28" x14ac:dyDescent="0.25">
      <c r="A39" t="s">
        <v>218</v>
      </c>
      <c r="B39" t="s">
        <v>219</v>
      </c>
      <c r="C39" t="s">
        <v>220</v>
      </c>
      <c r="D39" t="s">
        <v>221</v>
      </c>
      <c r="E39" t="s">
        <v>222</v>
      </c>
      <c r="F39" t="s">
        <v>33</v>
      </c>
      <c r="G39" t="s">
        <v>52</v>
      </c>
      <c r="H39" t="s">
        <v>53</v>
      </c>
      <c r="I39" t="s">
        <v>36</v>
      </c>
      <c r="J39" t="s">
        <v>37</v>
      </c>
      <c r="K39" t="s">
        <v>38</v>
      </c>
      <c r="L39" t="s">
        <v>39</v>
      </c>
      <c r="M39" t="s">
        <v>40</v>
      </c>
      <c r="N39" t="s">
        <v>41</v>
      </c>
      <c r="O39" t="s">
        <v>42</v>
      </c>
      <c r="P39">
        <v>1</v>
      </c>
      <c r="Q39" t="s">
        <v>33</v>
      </c>
      <c r="R39" t="s">
        <v>54</v>
      </c>
      <c r="S39" t="s">
        <v>44</v>
      </c>
      <c r="T39" s="8">
        <v>0</v>
      </c>
      <c r="U39" t="s">
        <v>220</v>
      </c>
      <c r="V39" t="s">
        <v>221</v>
      </c>
      <c r="W39" t="s">
        <v>222</v>
      </c>
      <c r="X39" t="s">
        <v>33</v>
      </c>
      <c r="Y39" t="s">
        <v>33</v>
      </c>
      <c r="Z39" t="s">
        <v>33</v>
      </c>
      <c r="AA39" t="s">
        <v>223</v>
      </c>
      <c r="AB39" t="s">
        <v>46</v>
      </c>
    </row>
    <row r="40" spans="1:28" x14ac:dyDescent="0.25">
      <c r="A40" t="s">
        <v>224</v>
      </c>
      <c r="B40" t="s">
        <v>225</v>
      </c>
      <c r="C40" t="s">
        <v>226</v>
      </c>
      <c r="D40" t="s">
        <v>227</v>
      </c>
      <c r="E40" t="s">
        <v>228</v>
      </c>
      <c r="F40" t="s">
        <v>33</v>
      </c>
      <c r="G40" t="s">
        <v>52</v>
      </c>
      <c r="H40" t="s">
        <v>53</v>
      </c>
      <c r="I40" t="s">
        <v>36</v>
      </c>
      <c r="J40" t="s">
        <v>37</v>
      </c>
      <c r="K40" t="s">
        <v>38</v>
      </c>
      <c r="L40" t="s">
        <v>39</v>
      </c>
      <c r="M40" t="s">
        <v>40</v>
      </c>
      <c r="N40" t="s">
        <v>41</v>
      </c>
      <c r="O40" t="s">
        <v>42</v>
      </c>
      <c r="P40">
        <v>1</v>
      </c>
      <c r="Q40" t="s">
        <v>33</v>
      </c>
      <c r="R40" t="s">
        <v>54</v>
      </c>
      <c r="S40" t="s">
        <v>44</v>
      </c>
      <c r="T40" s="8">
        <v>0</v>
      </c>
      <c r="U40" t="s">
        <v>226</v>
      </c>
      <c r="V40" t="s">
        <v>227</v>
      </c>
      <c r="W40" t="s">
        <v>228</v>
      </c>
      <c r="X40" t="s">
        <v>33</v>
      </c>
      <c r="Y40" t="s">
        <v>33</v>
      </c>
      <c r="Z40" t="s">
        <v>33</v>
      </c>
      <c r="AA40" t="s">
        <v>229</v>
      </c>
      <c r="AB40" t="s">
        <v>46</v>
      </c>
    </row>
    <row r="41" spans="1:28" x14ac:dyDescent="0.25">
      <c r="A41" t="s">
        <v>230</v>
      </c>
      <c r="B41" t="s">
        <v>231</v>
      </c>
      <c r="C41" t="s">
        <v>232</v>
      </c>
      <c r="D41" t="s">
        <v>233</v>
      </c>
      <c r="E41" t="s">
        <v>234</v>
      </c>
      <c r="F41" t="s">
        <v>33</v>
      </c>
      <c r="G41" t="s">
        <v>52</v>
      </c>
      <c r="H41" t="s">
        <v>53</v>
      </c>
      <c r="I41" t="s">
        <v>36</v>
      </c>
      <c r="J41" t="s">
        <v>37</v>
      </c>
      <c r="K41" t="s">
        <v>38</v>
      </c>
      <c r="L41" t="s">
        <v>39</v>
      </c>
      <c r="M41" t="s">
        <v>40</v>
      </c>
      <c r="N41" t="s">
        <v>41</v>
      </c>
      <c r="O41" t="s">
        <v>42</v>
      </c>
      <c r="P41">
        <v>1</v>
      </c>
      <c r="Q41" t="s">
        <v>33</v>
      </c>
      <c r="R41" t="s">
        <v>43</v>
      </c>
      <c r="S41" t="s">
        <v>44</v>
      </c>
      <c r="T41" s="8">
        <v>0</v>
      </c>
      <c r="U41" t="s">
        <v>232</v>
      </c>
      <c r="V41" t="s">
        <v>233</v>
      </c>
      <c r="W41" t="s">
        <v>234</v>
      </c>
      <c r="X41" t="s">
        <v>33</v>
      </c>
      <c r="Y41" t="s">
        <v>33</v>
      </c>
      <c r="Z41" t="s">
        <v>33</v>
      </c>
      <c r="AA41" t="s">
        <v>235</v>
      </c>
      <c r="AB41" t="s">
        <v>46</v>
      </c>
    </row>
    <row r="42" spans="1:28" x14ac:dyDescent="0.25">
      <c r="A42" t="s">
        <v>241</v>
      </c>
      <c r="B42" t="s">
        <v>242</v>
      </c>
      <c r="C42" t="s">
        <v>156</v>
      </c>
      <c r="D42" t="s">
        <v>243</v>
      </c>
      <c r="E42" t="s">
        <v>244</v>
      </c>
      <c r="F42" t="s">
        <v>33</v>
      </c>
      <c r="G42" t="s">
        <v>52</v>
      </c>
      <c r="H42" t="s">
        <v>53</v>
      </c>
      <c r="I42" t="s">
        <v>36</v>
      </c>
      <c r="J42" t="s">
        <v>37</v>
      </c>
      <c r="K42" t="s">
        <v>38</v>
      </c>
      <c r="L42" t="s">
        <v>39</v>
      </c>
      <c r="M42" t="s">
        <v>40</v>
      </c>
      <c r="N42" t="s">
        <v>41</v>
      </c>
      <c r="O42" t="s">
        <v>42</v>
      </c>
      <c r="P42">
        <v>1</v>
      </c>
      <c r="Q42" t="s">
        <v>33</v>
      </c>
      <c r="R42" t="s">
        <v>43</v>
      </c>
      <c r="S42" t="s">
        <v>44</v>
      </c>
      <c r="T42" s="8">
        <v>0</v>
      </c>
      <c r="U42" t="s">
        <v>156</v>
      </c>
      <c r="V42" t="s">
        <v>243</v>
      </c>
      <c r="W42" t="s">
        <v>244</v>
      </c>
      <c r="X42" t="s">
        <v>33</v>
      </c>
      <c r="Y42" t="s">
        <v>33</v>
      </c>
      <c r="Z42" t="s">
        <v>33</v>
      </c>
      <c r="AA42" t="s">
        <v>245</v>
      </c>
      <c r="AB42" t="s">
        <v>46</v>
      </c>
    </row>
    <row r="43" spans="1:28" x14ac:dyDescent="0.25">
      <c r="A43" t="s">
        <v>246</v>
      </c>
      <c r="B43" t="s">
        <v>247</v>
      </c>
      <c r="C43" t="s">
        <v>248</v>
      </c>
      <c r="D43" t="s">
        <v>249</v>
      </c>
      <c r="E43" t="s">
        <v>250</v>
      </c>
      <c r="F43" t="s">
        <v>33</v>
      </c>
      <c r="G43" t="s">
        <v>52</v>
      </c>
      <c r="H43" t="s">
        <v>53</v>
      </c>
      <c r="I43" t="s">
        <v>36</v>
      </c>
      <c r="J43" t="s">
        <v>37</v>
      </c>
      <c r="K43" t="s">
        <v>38</v>
      </c>
      <c r="L43" t="s">
        <v>39</v>
      </c>
      <c r="M43" t="s">
        <v>40</v>
      </c>
      <c r="N43" t="s">
        <v>41</v>
      </c>
      <c r="O43" t="s">
        <v>42</v>
      </c>
      <c r="P43">
        <v>1</v>
      </c>
      <c r="Q43" t="s">
        <v>33</v>
      </c>
      <c r="R43" t="s">
        <v>43</v>
      </c>
      <c r="S43" t="s">
        <v>44</v>
      </c>
      <c r="T43" s="8">
        <v>25</v>
      </c>
      <c r="U43" t="s">
        <v>248</v>
      </c>
      <c r="V43" t="s">
        <v>249</v>
      </c>
      <c r="W43" t="s">
        <v>250</v>
      </c>
      <c r="X43" t="s">
        <v>33</v>
      </c>
      <c r="Y43" t="s">
        <v>33</v>
      </c>
      <c r="Z43" t="s">
        <v>33</v>
      </c>
      <c r="AA43" t="s">
        <v>251</v>
      </c>
      <c r="AB43" t="s">
        <v>46</v>
      </c>
    </row>
    <row r="44" spans="1:28" x14ac:dyDescent="0.25">
      <c r="A44" t="s">
        <v>258</v>
      </c>
      <c r="B44" t="s">
        <v>259</v>
      </c>
      <c r="C44" t="s">
        <v>260</v>
      </c>
      <c r="D44" t="s">
        <v>261</v>
      </c>
      <c r="E44" t="s">
        <v>262</v>
      </c>
      <c r="F44" t="s">
        <v>33</v>
      </c>
      <c r="G44" t="s">
        <v>52</v>
      </c>
      <c r="H44" t="s">
        <v>53</v>
      </c>
      <c r="I44" t="s">
        <v>36</v>
      </c>
      <c r="J44" t="s">
        <v>37</v>
      </c>
      <c r="K44" t="s">
        <v>38</v>
      </c>
      <c r="L44" t="s">
        <v>39</v>
      </c>
      <c r="M44" t="s">
        <v>40</v>
      </c>
      <c r="N44" t="s">
        <v>41</v>
      </c>
      <c r="O44" t="s">
        <v>42</v>
      </c>
      <c r="P44">
        <v>1</v>
      </c>
      <c r="Q44" t="s">
        <v>33</v>
      </c>
      <c r="R44" t="s">
        <v>54</v>
      </c>
      <c r="S44" t="s">
        <v>44</v>
      </c>
      <c r="T44" s="8">
        <v>0</v>
      </c>
      <c r="U44" t="s">
        <v>260</v>
      </c>
      <c r="V44" t="s">
        <v>261</v>
      </c>
      <c r="W44" t="s">
        <v>262</v>
      </c>
      <c r="X44" t="s">
        <v>33</v>
      </c>
      <c r="Y44" t="s">
        <v>33</v>
      </c>
      <c r="Z44" t="s">
        <v>33</v>
      </c>
      <c r="AA44" t="s">
        <v>263</v>
      </c>
      <c r="AB44" t="s">
        <v>46</v>
      </c>
    </row>
    <row r="45" spans="1:28" x14ac:dyDescent="0.25">
      <c r="A45" t="s">
        <v>302</v>
      </c>
      <c r="B45" t="s">
        <v>303</v>
      </c>
      <c r="C45" t="s">
        <v>304</v>
      </c>
      <c r="D45" t="s">
        <v>305</v>
      </c>
      <c r="E45" t="s">
        <v>306</v>
      </c>
      <c r="F45" t="s">
        <v>33</v>
      </c>
      <c r="G45" t="s">
        <v>52</v>
      </c>
      <c r="H45" t="s">
        <v>53</v>
      </c>
      <c r="I45" t="s">
        <v>36</v>
      </c>
      <c r="J45" t="s">
        <v>37</v>
      </c>
      <c r="K45" t="s">
        <v>38</v>
      </c>
      <c r="L45" t="s">
        <v>39</v>
      </c>
      <c r="M45" t="s">
        <v>40</v>
      </c>
      <c r="N45" t="s">
        <v>41</v>
      </c>
      <c r="O45" t="s">
        <v>42</v>
      </c>
      <c r="P45">
        <v>1</v>
      </c>
      <c r="Q45" t="s">
        <v>33</v>
      </c>
      <c r="R45" t="s">
        <v>54</v>
      </c>
      <c r="S45" t="s">
        <v>44</v>
      </c>
      <c r="T45" s="8">
        <v>0</v>
      </c>
      <c r="U45" t="s">
        <v>304</v>
      </c>
      <c r="V45" t="s">
        <v>305</v>
      </c>
      <c r="W45" t="s">
        <v>306</v>
      </c>
      <c r="X45" t="s">
        <v>33</v>
      </c>
      <c r="Y45" t="s">
        <v>33</v>
      </c>
      <c r="Z45" t="s">
        <v>33</v>
      </c>
      <c r="AA45" t="s">
        <v>307</v>
      </c>
      <c r="AB45" t="s">
        <v>46</v>
      </c>
    </row>
    <row r="46" spans="1:28" x14ac:dyDescent="0.25">
      <c r="A46" t="s">
        <v>316</v>
      </c>
      <c r="B46" t="s">
        <v>317</v>
      </c>
      <c r="C46" t="s">
        <v>155</v>
      </c>
      <c r="D46" t="s">
        <v>155</v>
      </c>
      <c r="E46" t="s">
        <v>155</v>
      </c>
      <c r="F46" t="s">
        <v>33</v>
      </c>
      <c r="G46" t="s">
        <v>52</v>
      </c>
      <c r="H46" t="s">
        <v>53</v>
      </c>
      <c r="I46" t="s">
        <v>36</v>
      </c>
      <c r="J46" t="s">
        <v>37</v>
      </c>
      <c r="K46" t="s">
        <v>38</v>
      </c>
      <c r="L46" t="s">
        <v>39</v>
      </c>
      <c r="M46" t="s">
        <v>40</v>
      </c>
      <c r="N46" t="s">
        <v>41</v>
      </c>
      <c r="O46" t="s">
        <v>42</v>
      </c>
      <c r="P46">
        <v>1</v>
      </c>
      <c r="Q46" t="s">
        <v>33</v>
      </c>
      <c r="R46" t="s">
        <v>176</v>
      </c>
      <c r="S46" t="s">
        <v>44</v>
      </c>
      <c r="T46" s="8">
        <v>0</v>
      </c>
      <c r="U46" t="s">
        <v>318</v>
      </c>
      <c r="V46" t="s">
        <v>156</v>
      </c>
      <c r="W46" t="s">
        <v>319</v>
      </c>
      <c r="X46" t="s">
        <v>33</v>
      </c>
      <c r="Y46" t="s">
        <v>33</v>
      </c>
      <c r="Z46" t="s">
        <v>33</v>
      </c>
      <c r="AA46" t="s">
        <v>320</v>
      </c>
      <c r="AB46" t="s">
        <v>46</v>
      </c>
    </row>
    <row r="47" spans="1:28" x14ac:dyDescent="0.25">
      <c r="A47" t="s">
        <v>321</v>
      </c>
      <c r="B47" t="s">
        <v>322</v>
      </c>
      <c r="C47" t="s">
        <v>323</v>
      </c>
      <c r="D47" t="s">
        <v>324</v>
      </c>
      <c r="E47" t="s">
        <v>325</v>
      </c>
      <c r="F47" t="s">
        <v>33</v>
      </c>
      <c r="G47" t="s">
        <v>52</v>
      </c>
      <c r="H47" t="s">
        <v>53</v>
      </c>
      <c r="I47" t="s">
        <v>36</v>
      </c>
      <c r="J47" t="s">
        <v>37</v>
      </c>
      <c r="K47" t="s">
        <v>38</v>
      </c>
      <c r="L47" t="s">
        <v>39</v>
      </c>
      <c r="M47" t="s">
        <v>40</v>
      </c>
      <c r="N47" t="s">
        <v>41</v>
      </c>
      <c r="O47" t="s">
        <v>42</v>
      </c>
      <c r="P47">
        <v>1</v>
      </c>
      <c r="Q47" t="s">
        <v>33</v>
      </c>
      <c r="R47" t="s">
        <v>54</v>
      </c>
      <c r="S47" t="s">
        <v>44</v>
      </c>
      <c r="T47" s="8">
        <v>0</v>
      </c>
      <c r="U47" t="s">
        <v>323</v>
      </c>
      <c r="V47" t="s">
        <v>324</v>
      </c>
      <c r="W47" t="s">
        <v>325</v>
      </c>
      <c r="X47" t="s">
        <v>33</v>
      </c>
      <c r="Y47" t="s">
        <v>33</v>
      </c>
      <c r="Z47" t="s">
        <v>33</v>
      </c>
      <c r="AA47" t="s">
        <v>326</v>
      </c>
      <c r="AB47" t="s">
        <v>46</v>
      </c>
    </row>
    <row r="48" spans="1:28" x14ac:dyDescent="0.25">
      <c r="A48" t="s">
        <v>327</v>
      </c>
      <c r="B48" t="s">
        <v>328</v>
      </c>
      <c r="C48" t="s">
        <v>329</v>
      </c>
      <c r="D48" t="s">
        <v>330</v>
      </c>
      <c r="E48" t="s">
        <v>331</v>
      </c>
      <c r="F48" t="s">
        <v>33</v>
      </c>
      <c r="G48" t="s">
        <v>52</v>
      </c>
      <c r="H48" t="s">
        <v>53</v>
      </c>
      <c r="I48" t="s">
        <v>36</v>
      </c>
      <c r="J48" t="s">
        <v>37</v>
      </c>
      <c r="K48" t="s">
        <v>38</v>
      </c>
      <c r="L48" t="s">
        <v>39</v>
      </c>
      <c r="M48" t="s">
        <v>40</v>
      </c>
      <c r="N48" t="s">
        <v>41</v>
      </c>
      <c r="O48" t="s">
        <v>42</v>
      </c>
      <c r="P48">
        <v>1</v>
      </c>
      <c r="Q48" t="s">
        <v>33</v>
      </c>
      <c r="R48" t="s">
        <v>176</v>
      </c>
      <c r="S48" t="s">
        <v>44</v>
      </c>
      <c r="T48" s="8">
        <v>0</v>
      </c>
      <c r="U48" t="s">
        <v>329</v>
      </c>
      <c r="V48" t="s">
        <v>330</v>
      </c>
      <c r="W48" t="s">
        <v>331</v>
      </c>
      <c r="X48" t="s">
        <v>33</v>
      </c>
      <c r="Y48" t="s">
        <v>33</v>
      </c>
      <c r="Z48" t="s">
        <v>33</v>
      </c>
      <c r="AA48" t="s">
        <v>332</v>
      </c>
      <c r="AB48" t="s">
        <v>46</v>
      </c>
    </row>
    <row r="49" spans="1:28" x14ac:dyDescent="0.25">
      <c r="A49" t="s">
        <v>333</v>
      </c>
      <c r="B49" t="s">
        <v>334</v>
      </c>
      <c r="C49" t="s">
        <v>155</v>
      </c>
      <c r="D49" t="s">
        <v>155</v>
      </c>
      <c r="E49" t="s">
        <v>155</v>
      </c>
      <c r="F49" t="s">
        <v>33</v>
      </c>
      <c r="G49" t="s">
        <v>52</v>
      </c>
      <c r="H49" t="s">
        <v>53</v>
      </c>
      <c r="I49" t="s">
        <v>36</v>
      </c>
      <c r="J49" t="s">
        <v>37</v>
      </c>
      <c r="K49" t="s">
        <v>38</v>
      </c>
      <c r="L49" t="s">
        <v>39</v>
      </c>
      <c r="M49" t="s">
        <v>40</v>
      </c>
      <c r="N49" t="s">
        <v>41</v>
      </c>
      <c r="O49" t="s">
        <v>42</v>
      </c>
      <c r="P49">
        <v>1</v>
      </c>
      <c r="Q49" t="s">
        <v>33</v>
      </c>
      <c r="R49" t="s">
        <v>54</v>
      </c>
      <c r="S49" t="s">
        <v>44</v>
      </c>
      <c r="T49" s="8">
        <v>0</v>
      </c>
      <c r="U49" t="s">
        <v>335</v>
      </c>
      <c r="V49" t="s">
        <v>336</v>
      </c>
      <c r="W49" t="s">
        <v>337</v>
      </c>
      <c r="X49" t="s">
        <v>33</v>
      </c>
      <c r="Y49" t="s">
        <v>33</v>
      </c>
      <c r="Z49" t="s">
        <v>33</v>
      </c>
      <c r="AA49" t="s">
        <v>338</v>
      </c>
      <c r="AB49" t="s">
        <v>46</v>
      </c>
    </row>
    <row r="50" spans="1:28" x14ac:dyDescent="0.25">
      <c r="A50" t="s">
        <v>339</v>
      </c>
      <c r="B50" t="s">
        <v>340</v>
      </c>
      <c r="C50" t="s">
        <v>341</v>
      </c>
      <c r="D50" t="s">
        <v>342</v>
      </c>
      <c r="E50" t="s">
        <v>343</v>
      </c>
      <c r="F50" t="s">
        <v>33</v>
      </c>
      <c r="G50" t="s">
        <v>52</v>
      </c>
      <c r="H50" t="s">
        <v>53</v>
      </c>
      <c r="I50" t="s">
        <v>36</v>
      </c>
      <c r="J50" t="s">
        <v>37</v>
      </c>
      <c r="K50" t="s">
        <v>38</v>
      </c>
      <c r="L50" t="s">
        <v>39</v>
      </c>
      <c r="M50" t="s">
        <v>40</v>
      </c>
      <c r="N50" t="s">
        <v>41</v>
      </c>
      <c r="O50" t="s">
        <v>42</v>
      </c>
      <c r="P50">
        <v>1</v>
      </c>
      <c r="Q50" t="s">
        <v>33</v>
      </c>
      <c r="R50" t="s">
        <v>54</v>
      </c>
      <c r="S50" t="s">
        <v>44</v>
      </c>
      <c r="T50" s="8">
        <v>0</v>
      </c>
      <c r="U50" t="s">
        <v>341</v>
      </c>
      <c r="V50" t="s">
        <v>342</v>
      </c>
      <c r="W50" t="s">
        <v>343</v>
      </c>
      <c r="X50" t="s">
        <v>33</v>
      </c>
      <c r="Y50" t="s">
        <v>33</v>
      </c>
      <c r="Z50" t="s">
        <v>33</v>
      </c>
      <c r="AA50" t="s">
        <v>344</v>
      </c>
      <c r="AB50" t="s">
        <v>46</v>
      </c>
    </row>
    <row r="51" spans="1:28" x14ac:dyDescent="0.25">
      <c r="A51" t="s">
        <v>345</v>
      </c>
      <c r="B51" t="s">
        <v>346</v>
      </c>
      <c r="C51" t="s">
        <v>347</v>
      </c>
      <c r="D51" t="s">
        <v>348</v>
      </c>
      <c r="E51" t="s">
        <v>349</v>
      </c>
      <c r="F51" t="s">
        <v>33</v>
      </c>
      <c r="G51" t="s">
        <v>52</v>
      </c>
      <c r="H51" t="s">
        <v>53</v>
      </c>
      <c r="I51" t="s">
        <v>36</v>
      </c>
      <c r="J51" t="s">
        <v>37</v>
      </c>
      <c r="K51" t="s">
        <v>38</v>
      </c>
      <c r="L51" t="s">
        <v>39</v>
      </c>
      <c r="M51" t="s">
        <v>40</v>
      </c>
      <c r="N51" t="s">
        <v>41</v>
      </c>
      <c r="O51" t="s">
        <v>42</v>
      </c>
      <c r="P51">
        <v>1</v>
      </c>
      <c r="Q51" t="s">
        <v>33</v>
      </c>
      <c r="R51" t="s">
        <v>176</v>
      </c>
      <c r="S51" t="s">
        <v>44</v>
      </c>
      <c r="T51" s="8">
        <v>0</v>
      </c>
      <c r="U51" t="s">
        <v>347</v>
      </c>
      <c r="V51" t="s">
        <v>348</v>
      </c>
      <c r="W51" t="s">
        <v>349</v>
      </c>
      <c r="X51" t="s">
        <v>33</v>
      </c>
      <c r="Y51" t="s">
        <v>33</v>
      </c>
      <c r="Z51" t="s">
        <v>33</v>
      </c>
      <c r="AA51" t="s">
        <v>350</v>
      </c>
      <c r="AB51" t="s">
        <v>46</v>
      </c>
    </row>
    <row r="52" spans="1:28" x14ac:dyDescent="0.25">
      <c r="A52" t="s">
        <v>345</v>
      </c>
      <c r="B52" t="s">
        <v>346</v>
      </c>
      <c r="C52" t="s">
        <v>351</v>
      </c>
      <c r="D52" t="s">
        <v>352</v>
      </c>
      <c r="E52" t="s">
        <v>353</v>
      </c>
      <c r="F52" t="s">
        <v>33</v>
      </c>
      <c r="G52" t="s">
        <v>52</v>
      </c>
      <c r="H52" t="s">
        <v>53</v>
      </c>
      <c r="I52" t="s">
        <v>36</v>
      </c>
      <c r="J52" t="s">
        <v>37</v>
      </c>
      <c r="K52" t="s">
        <v>38</v>
      </c>
      <c r="L52" t="s">
        <v>39</v>
      </c>
      <c r="M52" t="s">
        <v>40</v>
      </c>
      <c r="N52" t="s">
        <v>41</v>
      </c>
      <c r="O52" t="s">
        <v>42</v>
      </c>
      <c r="P52">
        <v>1</v>
      </c>
      <c r="Q52" t="s">
        <v>33</v>
      </c>
      <c r="R52" t="s">
        <v>176</v>
      </c>
      <c r="S52" t="s">
        <v>44</v>
      </c>
      <c r="T52" s="8">
        <v>0</v>
      </c>
      <c r="U52" t="s">
        <v>347</v>
      </c>
      <c r="V52" t="s">
        <v>348</v>
      </c>
      <c r="W52" t="s">
        <v>349</v>
      </c>
      <c r="X52" t="s">
        <v>33</v>
      </c>
      <c r="Y52" t="s">
        <v>33</v>
      </c>
      <c r="Z52" t="s">
        <v>33</v>
      </c>
      <c r="AA52" t="s">
        <v>354</v>
      </c>
      <c r="AB52" t="s">
        <v>46</v>
      </c>
    </row>
    <row r="53" spans="1:28" x14ac:dyDescent="0.25">
      <c r="A53" t="s">
        <v>387</v>
      </c>
      <c r="B53" t="s">
        <v>388</v>
      </c>
      <c r="C53" t="s">
        <v>389</v>
      </c>
      <c r="D53" t="s">
        <v>390</v>
      </c>
      <c r="E53" t="s">
        <v>391</v>
      </c>
      <c r="F53" t="s">
        <v>33</v>
      </c>
      <c r="G53" t="s">
        <v>52</v>
      </c>
      <c r="H53" t="s">
        <v>53</v>
      </c>
      <c r="I53" t="s">
        <v>36</v>
      </c>
      <c r="J53" t="s">
        <v>37</v>
      </c>
      <c r="K53" t="s">
        <v>38</v>
      </c>
      <c r="L53" t="s">
        <v>39</v>
      </c>
      <c r="M53" t="s">
        <v>40</v>
      </c>
      <c r="N53" t="s">
        <v>41</v>
      </c>
      <c r="O53" t="s">
        <v>42</v>
      </c>
      <c r="P53">
        <v>1</v>
      </c>
      <c r="Q53" t="s">
        <v>33</v>
      </c>
      <c r="R53" t="s">
        <v>43</v>
      </c>
      <c r="S53" t="s">
        <v>44</v>
      </c>
      <c r="T53" s="8">
        <v>25</v>
      </c>
      <c r="U53" t="s">
        <v>389</v>
      </c>
      <c r="V53" t="s">
        <v>390</v>
      </c>
      <c r="W53" t="s">
        <v>391</v>
      </c>
      <c r="X53" t="s">
        <v>33</v>
      </c>
      <c r="Y53" t="s">
        <v>33</v>
      </c>
      <c r="Z53" t="s">
        <v>33</v>
      </c>
      <c r="AA53" t="s">
        <v>392</v>
      </c>
      <c r="AB53" t="s">
        <v>46</v>
      </c>
    </row>
    <row r="54" spans="1:28" x14ac:dyDescent="0.25">
      <c r="A54" t="s">
        <v>393</v>
      </c>
      <c r="B54" t="s">
        <v>394</v>
      </c>
      <c r="C54" t="s">
        <v>395</v>
      </c>
      <c r="D54" t="s">
        <v>396</v>
      </c>
      <c r="E54" t="s">
        <v>397</v>
      </c>
      <c r="F54" t="s">
        <v>33</v>
      </c>
      <c r="G54" t="s">
        <v>52</v>
      </c>
      <c r="H54" t="s">
        <v>53</v>
      </c>
      <c r="I54" t="s">
        <v>36</v>
      </c>
      <c r="J54" t="s">
        <v>37</v>
      </c>
      <c r="K54" t="s">
        <v>38</v>
      </c>
      <c r="L54" t="s">
        <v>39</v>
      </c>
      <c r="M54" t="s">
        <v>40</v>
      </c>
      <c r="N54" t="s">
        <v>41</v>
      </c>
      <c r="O54" t="s">
        <v>42</v>
      </c>
      <c r="P54">
        <v>1</v>
      </c>
      <c r="Q54" t="s">
        <v>33</v>
      </c>
      <c r="R54" t="s">
        <v>54</v>
      </c>
      <c r="S54" t="s">
        <v>44</v>
      </c>
      <c r="T54" s="8">
        <v>0</v>
      </c>
      <c r="U54" t="s">
        <v>395</v>
      </c>
      <c r="V54" t="s">
        <v>396</v>
      </c>
      <c r="W54" t="s">
        <v>397</v>
      </c>
      <c r="X54" t="s">
        <v>33</v>
      </c>
      <c r="Y54" t="s">
        <v>33</v>
      </c>
      <c r="Z54" t="s">
        <v>33</v>
      </c>
      <c r="AA54" t="s">
        <v>398</v>
      </c>
      <c r="AB54" t="s">
        <v>46</v>
      </c>
    </row>
    <row r="55" spans="1:28" x14ac:dyDescent="0.25">
      <c r="A55" t="s">
        <v>393</v>
      </c>
      <c r="B55" t="s">
        <v>394</v>
      </c>
      <c r="C55" t="s">
        <v>395</v>
      </c>
      <c r="D55" t="s">
        <v>396</v>
      </c>
      <c r="E55" t="s">
        <v>397</v>
      </c>
      <c r="F55" t="s">
        <v>33</v>
      </c>
      <c r="G55" t="s">
        <v>52</v>
      </c>
      <c r="H55" t="s">
        <v>53</v>
      </c>
      <c r="I55" t="s">
        <v>36</v>
      </c>
      <c r="J55" t="s">
        <v>37</v>
      </c>
      <c r="K55" t="s">
        <v>38</v>
      </c>
      <c r="L55" t="s">
        <v>39</v>
      </c>
      <c r="M55" t="s">
        <v>40</v>
      </c>
      <c r="N55" t="s">
        <v>41</v>
      </c>
      <c r="O55" t="s">
        <v>42</v>
      </c>
      <c r="P55">
        <v>1</v>
      </c>
      <c r="Q55" t="s">
        <v>33</v>
      </c>
      <c r="R55" t="s">
        <v>176</v>
      </c>
      <c r="S55" t="s">
        <v>44</v>
      </c>
      <c r="T55" s="8">
        <v>0</v>
      </c>
      <c r="U55" t="s">
        <v>395</v>
      </c>
      <c r="V55" t="s">
        <v>396</v>
      </c>
      <c r="W55" t="s">
        <v>397</v>
      </c>
      <c r="X55" t="s">
        <v>33</v>
      </c>
      <c r="Y55" t="s">
        <v>33</v>
      </c>
      <c r="Z55" t="s">
        <v>33</v>
      </c>
      <c r="AA55" t="s">
        <v>399</v>
      </c>
      <c r="AB55" t="s">
        <v>46</v>
      </c>
    </row>
    <row r="56" spans="1:28" x14ac:dyDescent="0.25">
      <c r="A56" t="s">
        <v>400</v>
      </c>
      <c r="B56" t="s">
        <v>401</v>
      </c>
      <c r="C56" t="s">
        <v>402</v>
      </c>
      <c r="D56" t="s">
        <v>403</v>
      </c>
      <c r="E56" t="s">
        <v>404</v>
      </c>
      <c r="F56" t="s">
        <v>33</v>
      </c>
      <c r="G56" t="s">
        <v>52</v>
      </c>
      <c r="H56" t="s">
        <v>53</v>
      </c>
      <c r="I56" t="s">
        <v>36</v>
      </c>
      <c r="J56" t="s">
        <v>37</v>
      </c>
      <c r="K56" t="s">
        <v>38</v>
      </c>
      <c r="L56" t="s">
        <v>39</v>
      </c>
      <c r="M56" t="s">
        <v>40</v>
      </c>
      <c r="N56" t="s">
        <v>41</v>
      </c>
      <c r="O56" t="s">
        <v>42</v>
      </c>
      <c r="P56">
        <v>1</v>
      </c>
      <c r="Q56" t="s">
        <v>33</v>
      </c>
      <c r="R56" t="s">
        <v>54</v>
      </c>
      <c r="S56" t="s">
        <v>44</v>
      </c>
      <c r="T56" s="8">
        <v>0</v>
      </c>
      <c r="U56" t="s">
        <v>402</v>
      </c>
      <c r="V56" t="s">
        <v>403</v>
      </c>
      <c r="W56" t="s">
        <v>404</v>
      </c>
      <c r="X56" t="s">
        <v>33</v>
      </c>
      <c r="Y56" t="s">
        <v>33</v>
      </c>
      <c r="Z56" t="s">
        <v>33</v>
      </c>
      <c r="AA56" t="s">
        <v>405</v>
      </c>
      <c r="AB56" t="s">
        <v>46</v>
      </c>
    </row>
    <row r="57" spans="1:28" x14ac:dyDescent="0.25">
      <c r="A57" t="s">
        <v>431</v>
      </c>
      <c r="B57" t="s">
        <v>432</v>
      </c>
      <c r="C57" t="s">
        <v>433</v>
      </c>
      <c r="D57" t="s">
        <v>434</v>
      </c>
      <c r="E57" t="s">
        <v>435</v>
      </c>
      <c r="F57" t="s">
        <v>33</v>
      </c>
      <c r="G57" t="s">
        <v>52</v>
      </c>
      <c r="H57" t="s">
        <v>53</v>
      </c>
      <c r="I57" t="s">
        <v>36</v>
      </c>
      <c r="J57" t="s">
        <v>37</v>
      </c>
      <c r="K57" t="s">
        <v>38</v>
      </c>
      <c r="L57" t="s">
        <v>39</v>
      </c>
      <c r="M57" t="s">
        <v>40</v>
      </c>
      <c r="N57" t="s">
        <v>41</v>
      </c>
      <c r="O57" t="s">
        <v>42</v>
      </c>
      <c r="P57">
        <v>1</v>
      </c>
      <c r="Q57" t="s">
        <v>33</v>
      </c>
      <c r="R57" t="s">
        <v>176</v>
      </c>
      <c r="S57" t="s">
        <v>44</v>
      </c>
      <c r="T57" s="8">
        <v>0</v>
      </c>
      <c r="U57" t="s">
        <v>433</v>
      </c>
      <c r="V57" t="s">
        <v>434</v>
      </c>
      <c r="W57" t="s">
        <v>435</v>
      </c>
      <c r="X57" t="s">
        <v>33</v>
      </c>
      <c r="Y57" t="s">
        <v>33</v>
      </c>
      <c r="Z57" t="s">
        <v>33</v>
      </c>
      <c r="AA57" t="s">
        <v>436</v>
      </c>
      <c r="AB57" t="s">
        <v>46</v>
      </c>
    </row>
    <row r="58" spans="1:28" x14ac:dyDescent="0.25">
      <c r="A58" t="s">
        <v>437</v>
      </c>
      <c r="B58" t="s">
        <v>438</v>
      </c>
      <c r="C58" t="s">
        <v>439</v>
      </c>
      <c r="D58" t="s">
        <v>440</v>
      </c>
      <c r="E58" t="s">
        <v>441</v>
      </c>
      <c r="F58" t="s">
        <v>33</v>
      </c>
      <c r="G58" t="s">
        <v>52</v>
      </c>
      <c r="H58" t="s">
        <v>53</v>
      </c>
      <c r="I58" t="s">
        <v>36</v>
      </c>
      <c r="J58" t="s">
        <v>37</v>
      </c>
      <c r="K58" t="s">
        <v>38</v>
      </c>
      <c r="L58" t="s">
        <v>39</v>
      </c>
      <c r="M58" t="s">
        <v>40</v>
      </c>
      <c r="N58" t="s">
        <v>41</v>
      </c>
      <c r="O58" t="s">
        <v>42</v>
      </c>
      <c r="P58">
        <v>1</v>
      </c>
      <c r="Q58" t="s">
        <v>33</v>
      </c>
      <c r="R58" t="s">
        <v>43</v>
      </c>
      <c r="S58" t="s">
        <v>44</v>
      </c>
      <c r="T58" s="8">
        <v>25</v>
      </c>
      <c r="U58" t="s">
        <v>442</v>
      </c>
      <c r="V58" t="s">
        <v>443</v>
      </c>
      <c r="W58" t="s">
        <v>238</v>
      </c>
      <c r="X58" t="s">
        <v>33</v>
      </c>
      <c r="Y58" t="s">
        <v>33</v>
      </c>
      <c r="Z58" t="s">
        <v>33</v>
      </c>
      <c r="AA58" t="s">
        <v>444</v>
      </c>
      <c r="AB58" t="s">
        <v>46</v>
      </c>
    </row>
    <row r="59" spans="1:28" x14ac:dyDescent="0.25">
      <c r="A59" t="s">
        <v>437</v>
      </c>
      <c r="B59" t="s">
        <v>438</v>
      </c>
      <c r="C59" t="s">
        <v>445</v>
      </c>
      <c r="D59" t="s">
        <v>446</v>
      </c>
      <c r="E59" t="s">
        <v>447</v>
      </c>
      <c r="F59" t="s">
        <v>33</v>
      </c>
      <c r="G59" t="s">
        <v>52</v>
      </c>
      <c r="H59" t="s">
        <v>53</v>
      </c>
      <c r="I59" t="s">
        <v>36</v>
      </c>
      <c r="J59" t="s">
        <v>37</v>
      </c>
      <c r="K59" t="s">
        <v>38</v>
      </c>
      <c r="L59" t="s">
        <v>39</v>
      </c>
      <c r="M59" t="s">
        <v>40</v>
      </c>
      <c r="N59" t="s">
        <v>41</v>
      </c>
      <c r="O59" t="s">
        <v>42</v>
      </c>
      <c r="P59">
        <v>1</v>
      </c>
      <c r="Q59" t="s">
        <v>33</v>
      </c>
      <c r="R59" t="s">
        <v>43</v>
      </c>
      <c r="S59" t="s">
        <v>44</v>
      </c>
      <c r="T59" s="8">
        <v>25</v>
      </c>
      <c r="U59" t="s">
        <v>442</v>
      </c>
      <c r="V59" t="s">
        <v>443</v>
      </c>
      <c r="W59" t="s">
        <v>238</v>
      </c>
      <c r="X59" t="s">
        <v>33</v>
      </c>
      <c r="Y59" t="s">
        <v>33</v>
      </c>
      <c r="Z59" t="s">
        <v>33</v>
      </c>
      <c r="AA59" t="s">
        <v>448</v>
      </c>
      <c r="AB59" t="s">
        <v>46</v>
      </c>
    </row>
    <row r="60" spans="1:28" x14ac:dyDescent="0.25">
      <c r="A60" t="s">
        <v>449</v>
      </c>
      <c r="B60" t="s">
        <v>450</v>
      </c>
      <c r="C60" t="s">
        <v>451</v>
      </c>
      <c r="D60" t="s">
        <v>452</v>
      </c>
      <c r="E60" t="s">
        <v>453</v>
      </c>
      <c r="F60" t="s">
        <v>33</v>
      </c>
      <c r="G60" t="s">
        <v>52</v>
      </c>
      <c r="H60" t="s">
        <v>53</v>
      </c>
      <c r="I60" t="s">
        <v>36</v>
      </c>
      <c r="J60" t="s">
        <v>37</v>
      </c>
      <c r="K60" t="s">
        <v>38</v>
      </c>
      <c r="L60" t="s">
        <v>39</v>
      </c>
      <c r="M60" t="s">
        <v>40</v>
      </c>
      <c r="N60" t="s">
        <v>41</v>
      </c>
      <c r="O60" t="s">
        <v>42</v>
      </c>
      <c r="P60">
        <v>1</v>
      </c>
      <c r="Q60" t="s">
        <v>33</v>
      </c>
      <c r="R60" t="s">
        <v>43</v>
      </c>
      <c r="S60" t="s">
        <v>44</v>
      </c>
      <c r="T60" s="8">
        <v>25</v>
      </c>
      <c r="U60" t="s">
        <v>451</v>
      </c>
      <c r="V60" t="s">
        <v>452</v>
      </c>
      <c r="W60" t="s">
        <v>453</v>
      </c>
      <c r="X60" t="s">
        <v>33</v>
      </c>
      <c r="Y60" t="s">
        <v>33</v>
      </c>
      <c r="Z60" t="s">
        <v>33</v>
      </c>
      <c r="AA60" t="s">
        <v>454</v>
      </c>
      <c r="AB60" t="s">
        <v>46</v>
      </c>
    </row>
    <row r="61" spans="1:28" x14ac:dyDescent="0.25">
      <c r="A61" t="s">
        <v>455</v>
      </c>
      <c r="B61" t="s">
        <v>456</v>
      </c>
      <c r="C61" t="s">
        <v>155</v>
      </c>
      <c r="D61" t="s">
        <v>155</v>
      </c>
      <c r="E61" t="s">
        <v>155</v>
      </c>
      <c r="F61" t="s">
        <v>33</v>
      </c>
      <c r="G61" t="s">
        <v>52</v>
      </c>
      <c r="H61" t="s">
        <v>53</v>
      </c>
      <c r="I61" t="s">
        <v>36</v>
      </c>
      <c r="J61" t="s">
        <v>37</v>
      </c>
      <c r="K61" t="s">
        <v>38</v>
      </c>
      <c r="L61" t="s">
        <v>39</v>
      </c>
      <c r="M61" t="s">
        <v>40</v>
      </c>
      <c r="N61" t="s">
        <v>41</v>
      </c>
      <c r="O61" t="s">
        <v>42</v>
      </c>
      <c r="P61">
        <v>1</v>
      </c>
      <c r="Q61" t="s">
        <v>33</v>
      </c>
      <c r="R61" t="s">
        <v>176</v>
      </c>
      <c r="S61" t="s">
        <v>44</v>
      </c>
      <c r="T61" s="8">
        <v>0</v>
      </c>
      <c r="U61" t="s">
        <v>457</v>
      </c>
      <c r="V61" t="s">
        <v>458</v>
      </c>
      <c r="W61" t="s">
        <v>459</v>
      </c>
      <c r="X61" t="s">
        <v>33</v>
      </c>
      <c r="Y61" t="s">
        <v>33</v>
      </c>
      <c r="Z61" t="s">
        <v>33</v>
      </c>
      <c r="AA61" t="s">
        <v>460</v>
      </c>
      <c r="AB61" t="s">
        <v>46</v>
      </c>
    </row>
    <row r="62" spans="1:28" x14ac:dyDescent="0.25">
      <c r="A62" t="s">
        <v>461</v>
      </c>
      <c r="B62" t="s">
        <v>462</v>
      </c>
      <c r="C62" t="s">
        <v>463</v>
      </c>
      <c r="D62" t="s">
        <v>464</v>
      </c>
      <c r="E62" t="s">
        <v>465</v>
      </c>
      <c r="F62" t="s">
        <v>33</v>
      </c>
      <c r="G62" t="s">
        <v>52</v>
      </c>
      <c r="H62" t="s">
        <v>53</v>
      </c>
      <c r="I62" t="s">
        <v>36</v>
      </c>
      <c r="J62" t="s">
        <v>37</v>
      </c>
      <c r="K62" t="s">
        <v>38</v>
      </c>
      <c r="L62" t="s">
        <v>39</v>
      </c>
      <c r="M62" t="s">
        <v>40</v>
      </c>
      <c r="N62" t="s">
        <v>41</v>
      </c>
      <c r="O62" t="s">
        <v>42</v>
      </c>
      <c r="P62">
        <v>1</v>
      </c>
      <c r="Q62" t="s">
        <v>33</v>
      </c>
      <c r="R62" t="s">
        <v>54</v>
      </c>
      <c r="S62" t="s">
        <v>44</v>
      </c>
      <c r="T62" s="8">
        <v>0</v>
      </c>
      <c r="U62" t="s">
        <v>463</v>
      </c>
      <c r="V62" t="s">
        <v>464</v>
      </c>
      <c r="W62" t="s">
        <v>465</v>
      </c>
      <c r="X62" t="s">
        <v>33</v>
      </c>
      <c r="Y62" t="s">
        <v>33</v>
      </c>
      <c r="Z62" t="s">
        <v>33</v>
      </c>
      <c r="AA62" t="s">
        <v>466</v>
      </c>
      <c r="AB62" t="s">
        <v>46</v>
      </c>
    </row>
    <row r="63" spans="1:28" x14ac:dyDescent="0.25">
      <c r="A63" t="s">
        <v>467</v>
      </c>
      <c r="B63" t="s">
        <v>468</v>
      </c>
      <c r="C63" t="s">
        <v>469</v>
      </c>
      <c r="D63" t="s">
        <v>470</v>
      </c>
      <c r="E63" t="s">
        <v>471</v>
      </c>
      <c r="F63" t="s">
        <v>33</v>
      </c>
      <c r="G63" t="s">
        <v>52</v>
      </c>
      <c r="H63" t="s">
        <v>53</v>
      </c>
      <c r="I63" t="s">
        <v>36</v>
      </c>
      <c r="J63" t="s">
        <v>37</v>
      </c>
      <c r="K63" t="s">
        <v>38</v>
      </c>
      <c r="L63" t="s">
        <v>39</v>
      </c>
      <c r="M63" t="s">
        <v>40</v>
      </c>
      <c r="N63" t="s">
        <v>41</v>
      </c>
      <c r="O63" t="s">
        <v>42</v>
      </c>
      <c r="P63">
        <v>1</v>
      </c>
      <c r="Q63" t="s">
        <v>33</v>
      </c>
      <c r="R63" t="s">
        <v>54</v>
      </c>
      <c r="S63" t="s">
        <v>44</v>
      </c>
      <c r="T63" s="8">
        <v>0</v>
      </c>
      <c r="U63" t="s">
        <v>469</v>
      </c>
      <c r="V63" t="s">
        <v>470</v>
      </c>
      <c r="W63" t="s">
        <v>471</v>
      </c>
      <c r="X63" t="s">
        <v>33</v>
      </c>
      <c r="Y63" t="s">
        <v>33</v>
      </c>
      <c r="Z63" t="s">
        <v>33</v>
      </c>
      <c r="AA63" t="s">
        <v>472</v>
      </c>
      <c r="AB63" t="s">
        <v>46</v>
      </c>
    </row>
    <row r="64" spans="1:28" x14ac:dyDescent="0.25">
      <c r="A64" t="s">
        <v>473</v>
      </c>
      <c r="B64" t="s">
        <v>474</v>
      </c>
      <c r="C64" t="s">
        <v>232</v>
      </c>
      <c r="D64" t="s">
        <v>475</v>
      </c>
      <c r="E64" t="s">
        <v>476</v>
      </c>
      <c r="F64" t="s">
        <v>33</v>
      </c>
      <c r="G64" t="s">
        <v>52</v>
      </c>
      <c r="H64" t="s">
        <v>53</v>
      </c>
      <c r="I64" t="s">
        <v>36</v>
      </c>
      <c r="J64" t="s">
        <v>37</v>
      </c>
      <c r="K64" t="s">
        <v>38</v>
      </c>
      <c r="L64" t="s">
        <v>39</v>
      </c>
      <c r="M64" t="s">
        <v>40</v>
      </c>
      <c r="N64" t="s">
        <v>41</v>
      </c>
      <c r="O64" t="s">
        <v>42</v>
      </c>
      <c r="P64">
        <v>1</v>
      </c>
      <c r="Q64" t="s">
        <v>33</v>
      </c>
      <c r="R64" t="s">
        <v>43</v>
      </c>
      <c r="S64" t="s">
        <v>44</v>
      </c>
      <c r="T64" s="8">
        <v>25</v>
      </c>
      <c r="U64" t="s">
        <v>232</v>
      </c>
      <c r="V64" t="s">
        <v>475</v>
      </c>
      <c r="W64" t="s">
        <v>476</v>
      </c>
      <c r="X64" t="s">
        <v>33</v>
      </c>
      <c r="Y64" t="s">
        <v>33</v>
      </c>
      <c r="Z64" t="s">
        <v>33</v>
      </c>
      <c r="AA64" t="s">
        <v>477</v>
      </c>
      <c r="AB64" t="s">
        <v>46</v>
      </c>
    </row>
    <row r="65" spans="1:28" x14ac:dyDescent="0.25">
      <c r="A65" t="s">
        <v>478</v>
      </c>
      <c r="B65" t="s">
        <v>479</v>
      </c>
      <c r="C65" t="s">
        <v>480</v>
      </c>
      <c r="D65" t="s">
        <v>481</v>
      </c>
      <c r="E65" t="s">
        <v>482</v>
      </c>
      <c r="F65" t="s">
        <v>33</v>
      </c>
      <c r="G65" t="s">
        <v>52</v>
      </c>
      <c r="H65" t="s">
        <v>53</v>
      </c>
      <c r="I65" t="s">
        <v>36</v>
      </c>
      <c r="J65" t="s">
        <v>37</v>
      </c>
      <c r="K65" t="s">
        <v>38</v>
      </c>
      <c r="L65" t="s">
        <v>39</v>
      </c>
      <c r="M65" t="s">
        <v>40</v>
      </c>
      <c r="N65" t="s">
        <v>41</v>
      </c>
      <c r="O65" t="s">
        <v>42</v>
      </c>
      <c r="P65">
        <v>1</v>
      </c>
      <c r="Q65" t="s">
        <v>33</v>
      </c>
      <c r="R65" t="s">
        <v>54</v>
      </c>
      <c r="S65" t="s">
        <v>44</v>
      </c>
      <c r="T65" s="8">
        <v>0</v>
      </c>
      <c r="U65" t="s">
        <v>480</v>
      </c>
      <c r="V65" t="s">
        <v>481</v>
      </c>
      <c r="W65" t="s">
        <v>482</v>
      </c>
      <c r="X65" t="s">
        <v>33</v>
      </c>
      <c r="Y65" t="s">
        <v>33</v>
      </c>
      <c r="Z65" t="s">
        <v>33</v>
      </c>
      <c r="AA65" t="s">
        <v>483</v>
      </c>
      <c r="AB65" t="s">
        <v>46</v>
      </c>
    </row>
    <row r="66" spans="1:28" x14ac:dyDescent="0.25">
      <c r="A66" t="s">
        <v>484</v>
      </c>
      <c r="B66" t="s">
        <v>485</v>
      </c>
      <c r="C66" t="s">
        <v>120</v>
      </c>
      <c r="D66" t="s">
        <v>486</v>
      </c>
      <c r="E66" t="s">
        <v>487</v>
      </c>
      <c r="F66" t="s">
        <v>33</v>
      </c>
      <c r="G66" t="s">
        <v>52</v>
      </c>
      <c r="H66" t="s">
        <v>53</v>
      </c>
      <c r="I66" t="s">
        <v>36</v>
      </c>
      <c r="J66" t="s">
        <v>37</v>
      </c>
      <c r="K66" t="s">
        <v>38</v>
      </c>
      <c r="L66" t="s">
        <v>39</v>
      </c>
      <c r="M66" t="s">
        <v>40</v>
      </c>
      <c r="N66" t="s">
        <v>41</v>
      </c>
      <c r="O66" t="s">
        <v>42</v>
      </c>
      <c r="P66">
        <v>1</v>
      </c>
      <c r="Q66" t="s">
        <v>33</v>
      </c>
      <c r="R66" t="s">
        <v>54</v>
      </c>
      <c r="S66" t="s">
        <v>44</v>
      </c>
      <c r="T66" s="8">
        <v>0</v>
      </c>
      <c r="U66" t="s">
        <v>120</v>
      </c>
      <c r="V66" t="s">
        <v>486</v>
      </c>
      <c r="W66" t="s">
        <v>487</v>
      </c>
      <c r="X66" t="s">
        <v>33</v>
      </c>
      <c r="Y66" t="s">
        <v>33</v>
      </c>
      <c r="Z66" t="s">
        <v>33</v>
      </c>
      <c r="AA66" t="s">
        <v>488</v>
      </c>
      <c r="AB66" t="s">
        <v>46</v>
      </c>
    </row>
    <row r="67" spans="1:28" x14ac:dyDescent="0.25">
      <c r="A67" t="s">
        <v>489</v>
      </c>
      <c r="B67" t="s">
        <v>490</v>
      </c>
      <c r="C67" t="s">
        <v>491</v>
      </c>
      <c r="D67" t="s">
        <v>492</v>
      </c>
      <c r="E67" t="s">
        <v>493</v>
      </c>
      <c r="F67" t="s">
        <v>33</v>
      </c>
      <c r="G67" t="s">
        <v>52</v>
      </c>
      <c r="H67" t="s">
        <v>53</v>
      </c>
      <c r="I67" t="s">
        <v>36</v>
      </c>
      <c r="J67" t="s">
        <v>37</v>
      </c>
      <c r="K67" t="s">
        <v>38</v>
      </c>
      <c r="L67" t="s">
        <v>39</v>
      </c>
      <c r="M67" t="s">
        <v>40</v>
      </c>
      <c r="N67" t="s">
        <v>41</v>
      </c>
      <c r="O67" t="s">
        <v>42</v>
      </c>
      <c r="P67">
        <v>1</v>
      </c>
      <c r="Q67" t="s">
        <v>33</v>
      </c>
      <c r="R67" t="s">
        <v>54</v>
      </c>
      <c r="S67" t="s">
        <v>44</v>
      </c>
      <c r="T67" s="8">
        <v>0</v>
      </c>
      <c r="U67" t="s">
        <v>491</v>
      </c>
      <c r="V67" t="s">
        <v>492</v>
      </c>
      <c r="W67" t="s">
        <v>493</v>
      </c>
      <c r="X67" t="s">
        <v>33</v>
      </c>
      <c r="Y67" t="s">
        <v>33</v>
      </c>
      <c r="Z67" t="s">
        <v>33</v>
      </c>
      <c r="AA67" t="s">
        <v>494</v>
      </c>
      <c r="AB67" t="s">
        <v>46</v>
      </c>
    </row>
    <row r="68" spans="1:28" x14ac:dyDescent="0.25">
      <c r="A68" t="s">
        <v>495</v>
      </c>
      <c r="B68" t="s">
        <v>496</v>
      </c>
      <c r="C68" t="s">
        <v>497</v>
      </c>
      <c r="D68" t="s">
        <v>498</v>
      </c>
      <c r="E68" t="s">
        <v>499</v>
      </c>
      <c r="F68" t="s">
        <v>33</v>
      </c>
      <c r="G68" t="s">
        <v>52</v>
      </c>
      <c r="H68" t="s">
        <v>53</v>
      </c>
      <c r="I68" t="s">
        <v>36</v>
      </c>
      <c r="J68" t="s">
        <v>37</v>
      </c>
      <c r="K68" t="s">
        <v>38</v>
      </c>
      <c r="L68" t="s">
        <v>39</v>
      </c>
      <c r="M68" t="s">
        <v>40</v>
      </c>
      <c r="N68" t="s">
        <v>41</v>
      </c>
      <c r="O68" t="s">
        <v>42</v>
      </c>
      <c r="P68">
        <v>1</v>
      </c>
      <c r="Q68" t="s">
        <v>33</v>
      </c>
      <c r="R68" t="s">
        <v>176</v>
      </c>
      <c r="S68" t="s">
        <v>44</v>
      </c>
      <c r="T68" s="8">
        <v>0</v>
      </c>
      <c r="U68" t="s">
        <v>497</v>
      </c>
      <c r="V68" t="s">
        <v>498</v>
      </c>
      <c r="W68" t="s">
        <v>499</v>
      </c>
      <c r="X68" t="s">
        <v>33</v>
      </c>
      <c r="Y68" t="s">
        <v>33</v>
      </c>
      <c r="Z68" t="s">
        <v>33</v>
      </c>
      <c r="AA68" t="s">
        <v>500</v>
      </c>
      <c r="AB68" t="s">
        <v>46</v>
      </c>
    </row>
    <row r="69" spans="1:28" x14ac:dyDescent="0.25">
      <c r="A69" t="s">
        <v>501</v>
      </c>
      <c r="B69" t="s">
        <v>502</v>
      </c>
      <c r="C69" t="s">
        <v>503</v>
      </c>
      <c r="D69" t="s">
        <v>504</v>
      </c>
      <c r="E69" t="s">
        <v>505</v>
      </c>
      <c r="F69" t="s">
        <v>33</v>
      </c>
      <c r="G69" t="s">
        <v>52</v>
      </c>
      <c r="H69" t="s">
        <v>53</v>
      </c>
      <c r="I69" t="s">
        <v>36</v>
      </c>
      <c r="J69" t="s">
        <v>37</v>
      </c>
      <c r="K69" t="s">
        <v>38</v>
      </c>
      <c r="L69" t="s">
        <v>39</v>
      </c>
      <c r="M69" t="s">
        <v>40</v>
      </c>
      <c r="N69" t="s">
        <v>41</v>
      </c>
      <c r="O69" t="s">
        <v>42</v>
      </c>
      <c r="P69">
        <v>1</v>
      </c>
      <c r="Q69" t="s">
        <v>33</v>
      </c>
      <c r="R69" t="s">
        <v>176</v>
      </c>
      <c r="S69" t="s">
        <v>44</v>
      </c>
      <c r="T69" s="8">
        <v>0</v>
      </c>
      <c r="U69" t="s">
        <v>503</v>
      </c>
      <c r="V69" t="s">
        <v>504</v>
      </c>
      <c r="W69" t="s">
        <v>505</v>
      </c>
      <c r="X69" t="s">
        <v>33</v>
      </c>
      <c r="Y69" t="s">
        <v>33</v>
      </c>
      <c r="Z69" t="s">
        <v>33</v>
      </c>
      <c r="AA69" t="s">
        <v>506</v>
      </c>
      <c r="AB69" t="s">
        <v>46</v>
      </c>
    </row>
    <row r="70" spans="1:28" x14ac:dyDescent="0.25">
      <c r="A70" t="s">
        <v>507</v>
      </c>
      <c r="B70" t="s">
        <v>508</v>
      </c>
      <c r="C70" t="s">
        <v>509</v>
      </c>
      <c r="D70" t="s">
        <v>510</v>
      </c>
      <c r="E70" t="s">
        <v>511</v>
      </c>
      <c r="F70" t="s">
        <v>33</v>
      </c>
      <c r="G70" t="s">
        <v>52</v>
      </c>
      <c r="H70" t="s">
        <v>53</v>
      </c>
      <c r="I70" t="s">
        <v>36</v>
      </c>
      <c r="J70" t="s">
        <v>37</v>
      </c>
      <c r="K70" t="s">
        <v>38</v>
      </c>
      <c r="L70" t="s">
        <v>39</v>
      </c>
      <c r="M70" t="s">
        <v>40</v>
      </c>
      <c r="N70" t="s">
        <v>41</v>
      </c>
      <c r="O70" t="s">
        <v>42</v>
      </c>
      <c r="P70">
        <v>1</v>
      </c>
      <c r="Q70" t="s">
        <v>33</v>
      </c>
      <c r="R70" t="s">
        <v>176</v>
      </c>
      <c r="S70" t="s">
        <v>44</v>
      </c>
      <c r="T70" s="8">
        <v>0</v>
      </c>
      <c r="U70" t="s">
        <v>509</v>
      </c>
      <c r="V70" t="s">
        <v>510</v>
      </c>
      <c r="W70" t="s">
        <v>511</v>
      </c>
      <c r="X70" t="s">
        <v>33</v>
      </c>
      <c r="Y70" t="s">
        <v>33</v>
      </c>
      <c r="Z70" t="s">
        <v>33</v>
      </c>
      <c r="AA70" t="s">
        <v>512</v>
      </c>
      <c r="AB70" t="s">
        <v>46</v>
      </c>
    </row>
    <row r="71" spans="1:28" x14ac:dyDescent="0.25">
      <c r="A71" t="s">
        <v>520</v>
      </c>
      <c r="B71" t="s">
        <v>521</v>
      </c>
      <c r="C71" t="s">
        <v>522</v>
      </c>
      <c r="D71" t="s">
        <v>523</v>
      </c>
      <c r="E71" t="s">
        <v>524</v>
      </c>
      <c r="F71" t="s">
        <v>33</v>
      </c>
      <c r="G71" t="s">
        <v>52</v>
      </c>
      <c r="H71" t="s">
        <v>53</v>
      </c>
      <c r="I71" t="s">
        <v>36</v>
      </c>
      <c r="J71" t="s">
        <v>37</v>
      </c>
      <c r="K71" t="s">
        <v>38</v>
      </c>
      <c r="L71" t="s">
        <v>39</v>
      </c>
      <c r="M71" t="s">
        <v>40</v>
      </c>
      <c r="N71" t="s">
        <v>41</v>
      </c>
      <c r="O71" t="s">
        <v>42</v>
      </c>
      <c r="P71">
        <v>1</v>
      </c>
      <c r="Q71" t="s">
        <v>33</v>
      </c>
      <c r="R71" t="s">
        <v>54</v>
      </c>
      <c r="S71" t="s">
        <v>44</v>
      </c>
      <c r="T71" s="8">
        <v>0</v>
      </c>
      <c r="U71" t="s">
        <v>522</v>
      </c>
      <c r="V71" t="s">
        <v>523</v>
      </c>
      <c r="W71" t="s">
        <v>524</v>
      </c>
      <c r="X71" t="s">
        <v>33</v>
      </c>
      <c r="Y71" t="s">
        <v>33</v>
      </c>
      <c r="Z71" t="s">
        <v>33</v>
      </c>
      <c r="AA71" t="s">
        <v>525</v>
      </c>
      <c r="AB71" t="s">
        <v>46</v>
      </c>
    </row>
    <row r="72" spans="1:28" x14ac:dyDescent="0.25">
      <c r="A72" t="s">
        <v>538</v>
      </c>
      <c r="B72" t="s">
        <v>539</v>
      </c>
      <c r="C72" t="s">
        <v>540</v>
      </c>
      <c r="D72" t="s">
        <v>541</v>
      </c>
      <c r="E72" t="s">
        <v>542</v>
      </c>
      <c r="F72" t="s">
        <v>33</v>
      </c>
      <c r="G72" t="s">
        <v>52</v>
      </c>
      <c r="H72" t="s">
        <v>53</v>
      </c>
      <c r="I72" t="s">
        <v>36</v>
      </c>
      <c r="J72" t="s">
        <v>37</v>
      </c>
      <c r="K72" t="s">
        <v>38</v>
      </c>
      <c r="L72" t="s">
        <v>39</v>
      </c>
      <c r="M72" t="s">
        <v>40</v>
      </c>
      <c r="N72" t="s">
        <v>41</v>
      </c>
      <c r="O72" t="s">
        <v>42</v>
      </c>
      <c r="P72">
        <v>1</v>
      </c>
      <c r="Q72" t="s">
        <v>33</v>
      </c>
      <c r="R72" t="s">
        <v>54</v>
      </c>
      <c r="S72" t="s">
        <v>44</v>
      </c>
      <c r="T72" s="8">
        <v>0</v>
      </c>
      <c r="U72" t="s">
        <v>540</v>
      </c>
      <c r="V72" t="s">
        <v>541</v>
      </c>
      <c r="W72" t="s">
        <v>542</v>
      </c>
      <c r="X72" t="s">
        <v>33</v>
      </c>
      <c r="Y72" t="s">
        <v>33</v>
      </c>
      <c r="Z72" t="s">
        <v>33</v>
      </c>
      <c r="AA72" t="s">
        <v>543</v>
      </c>
      <c r="AB72" t="s">
        <v>46</v>
      </c>
    </row>
    <row r="73" spans="1:28" x14ac:dyDescent="0.25">
      <c r="A73" t="s">
        <v>550</v>
      </c>
      <c r="B73" t="s">
        <v>551</v>
      </c>
      <c r="C73" t="s">
        <v>552</v>
      </c>
      <c r="D73" t="s">
        <v>553</v>
      </c>
      <c r="E73" t="s">
        <v>554</v>
      </c>
      <c r="F73" t="s">
        <v>33</v>
      </c>
      <c r="G73" t="s">
        <v>52</v>
      </c>
      <c r="H73" t="s">
        <v>53</v>
      </c>
      <c r="I73" t="s">
        <v>36</v>
      </c>
      <c r="J73" t="s">
        <v>37</v>
      </c>
      <c r="K73" t="s">
        <v>38</v>
      </c>
      <c r="L73" t="s">
        <v>39</v>
      </c>
      <c r="M73" t="s">
        <v>40</v>
      </c>
      <c r="N73" t="s">
        <v>41</v>
      </c>
      <c r="O73" t="s">
        <v>42</v>
      </c>
      <c r="P73">
        <v>1</v>
      </c>
      <c r="Q73" t="s">
        <v>33</v>
      </c>
      <c r="R73" t="s">
        <v>54</v>
      </c>
      <c r="S73" t="s">
        <v>44</v>
      </c>
      <c r="T73" s="8">
        <v>0</v>
      </c>
      <c r="U73" t="s">
        <v>552</v>
      </c>
      <c r="V73" t="s">
        <v>553</v>
      </c>
      <c r="W73" t="s">
        <v>554</v>
      </c>
      <c r="X73" t="s">
        <v>33</v>
      </c>
      <c r="Y73" t="s">
        <v>33</v>
      </c>
      <c r="Z73" t="s">
        <v>33</v>
      </c>
      <c r="AA73" t="s">
        <v>555</v>
      </c>
      <c r="AB73" t="s">
        <v>46</v>
      </c>
    </row>
    <row r="74" spans="1:28" x14ac:dyDescent="0.25">
      <c r="A74" t="s">
        <v>56</v>
      </c>
      <c r="B74" t="s">
        <v>57</v>
      </c>
      <c r="C74" t="s">
        <v>58</v>
      </c>
      <c r="D74" t="s">
        <v>59</v>
      </c>
      <c r="E74" t="s">
        <v>60</v>
      </c>
      <c r="F74" t="s">
        <v>33</v>
      </c>
      <c r="G74" t="s">
        <v>61</v>
      </c>
      <c r="H74" t="s">
        <v>62</v>
      </c>
      <c r="I74" t="s">
        <v>36</v>
      </c>
      <c r="J74" t="s">
        <v>37</v>
      </c>
      <c r="K74" t="s">
        <v>38</v>
      </c>
      <c r="L74" t="s">
        <v>39</v>
      </c>
      <c r="M74" t="s">
        <v>40</v>
      </c>
      <c r="N74" t="s">
        <v>41</v>
      </c>
      <c r="O74" t="s">
        <v>42</v>
      </c>
      <c r="P74">
        <v>1</v>
      </c>
      <c r="Q74" t="s">
        <v>33</v>
      </c>
      <c r="R74" t="s">
        <v>54</v>
      </c>
      <c r="S74" t="s">
        <v>44</v>
      </c>
      <c r="T74" s="8">
        <v>0</v>
      </c>
      <c r="U74" t="s">
        <v>58</v>
      </c>
      <c r="V74" t="s">
        <v>59</v>
      </c>
      <c r="W74" t="s">
        <v>60</v>
      </c>
      <c r="X74" t="s">
        <v>33</v>
      </c>
      <c r="Y74" t="s">
        <v>33</v>
      </c>
      <c r="Z74" t="s">
        <v>33</v>
      </c>
      <c r="AA74" t="s">
        <v>63</v>
      </c>
      <c r="AB74" t="s">
        <v>46</v>
      </c>
    </row>
    <row r="75" spans="1:28" x14ac:dyDescent="0.25">
      <c r="A75" t="s">
        <v>416</v>
      </c>
      <c r="B75" t="s">
        <v>417</v>
      </c>
      <c r="C75" t="s">
        <v>418</v>
      </c>
      <c r="D75" t="s">
        <v>419</v>
      </c>
      <c r="E75" t="s">
        <v>420</v>
      </c>
      <c r="F75" t="s">
        <v>33</v>
      </c>
      <c r="G75" t="s">
        <v>421</v>
      </c>
      <c r="H75" t="s">
        <v>35</v>
      </c>
      <c r="I75" t="s">
        <v>36</v>
      </c>
      <c r="J75" t="s">
        <v>37</v>
      </c>
      <c r="K75" t="s">
        <v>38</v>
      </c>
      <c r="L75" t="s">
        <v>39</v>
      </c>
      <c r="M75" t="s">
        <v>40</v>
      </c>
      <c r="N75" t="s">
        <v>41</v>
      </c>
      <c r="O75" t="s">
        <v>42</v>
      </c>
      <c r="P75">
        <v>1</v>
      </c>
      <c r="Q75" t="s">
        <v>33</v>
      </c>
      <c r="R75" t="s">
        <v>142</v>
      </c>
      <c r="S75" t="s">
        <v>44</v>
      </c>
      <c r="T75" s="8">
        <v>250</v>
      </c>
      <c r="U75" t="s">
        <v>418</v>
      </c>
      <c r="V75" t="s">
        <v>419</v>
      </c>
      <c r="W75" t="s">
        <v>420</v>
      </c>
      <c r="X75" t="s">
        <v>33</v>
      </c>
      <c r="Y75" t="s">
        <v>33</v>
      </c>
      <c r="Z75" t="s">
        <v>33</v>
      </c>
      <c r="AA75" t="s">
        <v>422</v>
      </c>
      <c r="AB75" t="s">
        <v>46</v>
      </c>
    </row>
    <row r="76" spans="1:28" x14ac:dyDescent="0.25">
      <c r="A76" t="s">
        <v>406</v>
      </c>
      <c r="B76" t="s">
        <v>407</v>
      </c>
      <c r="C76" t="s">
        <v>155</v>
      </c>
      <c r="D76" t="s">
        <v>155</v>
      </c>
      <c r="E76" t="s">
        <v>155</v>
      </c>
      <c r="F76" t="s">
        <v>33</v>
      </c>
      <c r="G76" t="s">
        <v>408</v>
      </c>
      <c r="H76" t="s">
        <v>53</v>
      </c>
      <c r="I76" t="s">
        <v>36</v>
      </c>
      <c r="J76" t="s">
        <v>37</v>
      </c>
      <c r="K76" t="s">
        <v>38</v>
      </c>
      <c r="L76" t="s">
        <v>39</v>
      </c>
      <c r="M76" t="s">
        <v>40</v>
      </c>
      <c r="N76" t="s">
        <v>41</v>
      </c>
      <c r="O76" t="s">
        <v>42</v>
      </c>
      <c r="P76">
        <v>1</v>
      </c>
      <c r="Q76" t="s">
        <v>33</v>
      </c>
      <c r="R76" t="s">
        <v>54</v>
      </c>
      <c r="S76" t="s">
        <v>44</v>
      </c>
      <c r="T76" s="8">
        <v>0</v>
      </c>
      <c r="U76" t="s">
        <v>409</v>
      </c>
      <c r="V76" t="s">
        <v>410</v>
      </c>
      <c r="W76" t="s">
        <v>411</v>
      </c>
      <c r="X76" t="s">
        <v>33</v>
      </c>
      <c r="Y76" t="s">
        <v>33</v>
      </c>
      <c r="Z76" t="s">
        <v>33</v>
      </c>
      <c r="AA76" t="s">
        <v>412</v>
      </c>
      <c r="AB76" t="s">
        <v>46</v>
      </c>
    </row>
    <row r="77" spans="1:28" x14ac:dyDescent="0.25">
      <c r="A77" t="s">
        <v>104</v>
      </c>
      <c r="B77" t="s">
        <v>105</v>
      </c>
      <c r="C77" t="s">
        <v>106</v>
      </c>
      <c r="D77" t="s">
        <v>107</v>
      </c>
      <c r="E77" t="s">
        <v>108</v>
      </c>
      <c r="F77" t="s">
        <v>33</v>
      </c>
      <c r="G77" t="s">
        <v>109</v>
      </c>
      <c r="H77" t="s">
        <v>53</v>
      </c>
      <c r="I77" t="s">
        <v>36</v>
      </c>
      <c r="J77" t="s">
        <v>37</v>
      </c>
      <c r="K77" t="s">
        <v>38</v>
      </c>
      <c r="L77" t="s">
        <v>39</v>
      </c>
      <c r="M77" t="s">
        <v>40</v>
      </c>
      <c r="N77" t="s">
        <v>41</v>
      </c>
      <c r="O77" t="s">
        <v>42</v>
      </c>
      <c r="P77">
        <v>1</v>
      </c>
      <c r="Q77" t="s">
        <v>33</v>
      </c>
      <c r="R77" t="s">
        <v>43</v>
      </c>
      <c r="S77" t="s">
        <v>44</v>
      </c>
      <c r="T77" s="8">
        <v>0</v>
      </c>
      <c r="U77" t="s">
        <v>106</v>
      </c>
      <c r="V77" t="s">
        <v>107</v>
      </c>
      <c r="W77" t="s">
        <v>108</v>
      </c>
      <c r="X77" t="s">
        <v>33</v>
      </c>
      <c r="Y77" t="s">
        <v>33</v>
      </c>
      <c r="Z77" t="s">
        <v>33</v>
      </c>
      <c r="AA77" t="s">
        <v>110</v>
      </c>
      <c r="AB77" t="s">
        <v>46</v>
      </c>
    </row>
    <row r="78" spans="1:28" x14ac:dyDescent="0.25">
      <c r="A78" t="s">
        <v>532</v>
      </c>
      <c r="B78" t="s">
        <v>533</v>
      </c>
      <c r="C78" t="s">
        <v>535</v>
      </c>
      <c r="D78" t="s">
        <v>536</v>
      </c>
      <c r="E78" t="s">
        <v>534</v>
      </c>
      <c r="F78" t="s">
        <v>33</v>
      </c>
      <c r="G78" t="s">
        <v>109</v>
      </c>
      <c r="H78" t="s">
        <v>53</v>
      </c>
      <c r="I78" t="s">
        <v>36</v>
      </c>
      <c r="J78" t="s">
        <v>37</v>
      </c>
      <c r="K78" t="s">
        <v>38</v>
      </c>
      <c r="L78" t="s">
        <v>39</v>
      </c>
      <c r="M78" t="s">
        <v>40</v>
      </c>
      <c r="N78" t="s">
        <v>41</v>
      </c>
      <c r="O78" t="s">
        <v>42</v>
      </c>
      <c r="P78">
        <v>1</v>
      </c>
      <c r="Q78" t="s">
        <v>33</v>
      </c>
      <c r="R78" t="s">
        <v>43</v>
      </c>
      <c r="S78" t="s">
        <v>44</v>
      </c>
      <c r="T78" s="8">
        <v>25</v>
      </c>
      <c r="U78" t="s">
        <v>535</v>
      </c>
      <c r="V78" t="s">
        <v>536</v>
      </c>
      <c r="W78" t="s">
        <v>534</v>
      </c>
      <c r="X78" t="s">
        <v>33</v>
      </c>
      <c r="Y78" t="s">
        <v>33</v>
      </c>
      <c r="Z78" t="s">
        <v>33</v>
      </c>
      <c r="AA78" t="s">
        <v>537</v>
      </c>
      <c r="AB78" t="s">
        <v>46</v>
      </c>
    </row>
    <row r="79" spans="1:28" x14ac:dyDescent="0.25">
      <c r="A79" t="s">
        <v>289</v>
      </c>
      <c r="B79" t="s">
        <v>290</v>
      </c>
      <c r="C79" t="s">
        <v>291</v>
      </c>
      <c r="D79" t="s">
        <v>292</v>
      </c>
      <c r="E79" t="s">
        <v>293</v>
      </c>
      <c r="F79" t="s">
        <v>33</v>
      </c>
      <c r="G79" t="s">
        <v>294</v>
      </c>
      <c r="H79" t="s">
        <v>53</v>
      </c>
      <c r="I79" t="s">
        <v>36</v>
      </c>
      <c r="J79" t="s">
        <v>37</v>
      </c>
      <c r="K79" t="s">
        <v>38</v>
      </c>
      <c r="L79" t="s">
        <v>39</v>
      </c>
      <c r="M79" t="s">
        <v>40</v>
      </c>
      <c r="N79" t="s">
        <v>41</v>
      </c>
      <c r="O79" t="s">
        <v>42</v>
      </c>
      <c r="P79">
        <v>1</v>
      </c>
      <c r="Q79" t="s">
        <v>33</v>
      </c>
      <c r="R79" t="s">
        <v>43</v>
      </c>
      <c r="S79" t="s">
        <v>44</v>
      </c>
      <c r="T79" s="8">
        <v>0</v>
      </c>
      <c r="U79" t="s">
        <v>291</v>
      </c>
      <c r="V79" t="s">
        <v>292</v>
      </c>
      <c r="W79" t="s">
        <v>293</v>
      </c>
      <c r="X79" t="s">
        <v>33</v>
      </c>
      <c r="Y79" t="s">
        <v>33</v>
      </c>
      <c r="Z79" t="s">
        <v>33</v>
      </c>
      <c r="AA79" t="s">
        <v>295</v>
      </c>
      <c r="AB79" t="s">
        <v>46</v>
      </c>
    </row>
    <row r="80" spans="1:28" x14ac:dyDescent="0.25">
      <c r="A80" t="s">
        <v>296</v>
      </c>
      <c r="B80" t="s">
        <v>297</v>
      </c>
      <c r="C80" t="s">
        <v>298</v>
      </c>
      <c r="D80" t="s">
        <v>299</v>
      </c>
      <c r="E80" t="s">
        <v>300</v>
      </c>
      <c r="F80" t="s">
        <v>33</v>
      </c>
      <c r="G80" t="s">
        <v>294</v>
      </c>
      <c r="H80" t="s">
        <v>53</v>
      </c>
      <c r="I80" t="s">
        <v>36</v>
      </c>
      <c r="J80" t="s">
        <v>37</v>
      </c>
      <c r="K80" t="s">
        <v>38</v>
      </c>
      <c r="L80" t="s">
        <v>39</v>
      </c>
      <c r="M80" t="s">
        <v>40</v>
      </c>
      <c r="N80" t="s">
        <v>41</v>
      </c>
      <c r="O80" t="s">
        <v>42</v>
      </c>
      <c r="P80">
        <v>1</v>
      </c>
      <c r="Q80" t="s">
        <v>33</v>
      </c>
      <c r="R80" t="s">
        <v>176</v>
      </c>
      <c r="S80" t="s">
        <v>44</v>
      </c>
      <c r="T80" s="8">
        <v>0</v>
      </c>
      <c r="U80" t="s">
        <v>298</v>
      </c>
      <c r="V80" t="s">
        <v>299</v>
      </c>
      <c r="W80" t="s">
        <v>300</v>
      </c>
      <c r="X80" t="s">
        <v>33</v>
      </c>
      <c r="Y80" t="s">
        <v>33</v>
      </c>
      <c r="Z80" t="s">
        <v>33</v>
      </c>
      <c r="AA80" t="s">
        <v>301</v>
      </c>
      <c r="AB80" t="s">
        <v>46</v>
      </c>
    </row>
    <row r="81" spans="1:28" x14ac:dyDescent="0.25">
      <c r="A81" t="s">
        <v>118</v>
      </c>
      <c r="B81" t="s">
        <v>119</v>
      </c>
      <c r="C81" t="s">
        <v>120</v>
      </c>
      <c r="D81" t="s">
        <v>121</v>
      </c>
      <c r="E81" t="s">
        <v>122</v>
      </c>
      <c r="F81" t="s">
        <v>33</v>
      </c>
      <c r="G81" t="s">
        <v>123</v>
      </c>
      <c r="H81" t="s">
        <v>116</v>
      </c>
      <c r="I81" t="s">
        <v>36</v>
      </c>
      <c r="J81" t="s">
        <v>37</v>
      </c>
      <c r="K81" t="s">
        <v>38</v>
      </c>
      <c r="L81" t="s">
        <v>39</v>
      </c>
      <c r="M81" t="s">
        <v>40</v>
      </c>
      <c r="N81" t="s">
        <v>41</v>
      </c>
      <c r="O81" t="s">
        <v>42</v>
      </c>
      <c r="P81">
        <v>1</v>
      </c>
      <c r="Q81" t="s">
        <v>33</v>
      </c>
      <c r="R81" t="s">
        <v>43</v>
      </c>
      <c r="S81" t="s">
        <v>44</v>
      </c>
      <c r="T81" s="8">
        <v>0</v>
      </c>
      <c r="U81" t="s">
        <v>120</v>
      </c>
      <c r="V81" t="s">
        <v>121</v>
      </c>
      <c r="W81" t="s">
        <v>122</v>
      </c>
      <c r="X81" t="s">
        <v>33</v>
      </c>
      <c r="Y81" t="s">
        <v>33</v>
      </c>
      <c r="Z81" t="s">
        <v>33</v>
      </c>
      <c r="AA81" t="s">
        <v>124</v>
      </c>
      <c r="AB81" t="s">
        <v>46</v>
      </c>
    </row>
    <row r="82" spans="1:28" x14ac:dyDescent="0.25">
      <c r="A82" t="s">
        <v>64</v>
      </c>
      <c r="B82" t="s">
        <v>65</v>
      </c>
      <c r="C82" t="s">
        <v>66</v>
      </c>
      <c r="D82" t="s">
        <v>67</v>
      </c>
      <c r="E82" t="s">
        <v>68</v>
      </c>
      <c r="F82" t="s">
        <v>33</v>
      </c>
      <c r="G82" t="s">
        <v>69</v>
      </c>
      <c r="H82" t="s">
        <v>53</v>
      </c>
      <c r="I82" t="s">
        <v>36</v>
      </c>
      <c r="J82" t="s">
        <v>37</v>
      </c>
      <c r="K82" t="s">
        <v>38</v>
      </c>
      <c r="L82" t="s">
        <v>39</v>
      </c>
      <c r="M82" t="s">
        <v>40</v>
      </c>
      <c r="N82" t="s">
        <v>41</v>
      </c>
      <c r="O82" t="s">
        <v>42</v>
      </c>
      <c r="P82">
        <v>1</v>
      </c>
      <c r="Q82" t="s">
        <v>33</v>
      </c>
      <c r="R82" t="s">
        <v>43</v>
      </c>
      <c r="S82" t="s">
        <v>44</v>
      </c>
      <c r="T82" s="8">
        <v>25</v>
      </c>
      <c r="U82" t="s">
        <v>66</v>
      </c>
      <c r="V82" t="s">
        <v>67</v>
      </c>
      <c r="W82" t="s">
        <v>68</v>
      </c>
      <c r="X82" t="s">
        <v>33</v>
      </c>
      <c r="Y82" t="s">
        <v>33</v>
      </c>
      <c r="Z82" t="s">
        <v>33</v>
      </c>
      <c r="AA82" t="s">
        <v>70</v>
      </c>
      <c r="AB82" t="s">
        <v>46</v>
      </c>
    </row>
    <row r="83" spans="1:28" x14ac:dyDescent="0.25">
      <c r="A83" t="s">
        <v>64</v>
      </c>
      <c r="B83" t="s">
        <v>65</v>
      </c>
      <c r="C83" t="s">
        <v>66</v>
      </c>
      <c r="D83" t="s">
        <v>67</v>
      </c>
      <c r="E83" t="s">
        <v>68</v>
      </c>
      <c r="F83" t="s">
        <v>33</v>
      </c>
      <c r="G83" t="s">
        <v>69</v>
      </c>
      <c r="H83" t="s">
        <v>53</v>
      </c>
      <c r="I83" t="s">
        <v>36</v>
      </c>
      <c r="J83" t="s">
        <v>37</v>
      </c>
      <c r="K83" t="s">
        <v>38</v>
      </c>
      <c r="L83" t="s">
        <v>39</v>
      </c>
      <c r="M83" t="s">
        <v>40</v>
      </c>
      <c r="N83" t="s">
        <v>41</v>
      </c>
      <c r="O83" t="s">
        <v>42</v>
      </c>
      <c r="P83">
        <v>1</v>
      </c>
      <c r="Q83" t="s">
        <v>33</v>
      </c>
      <c r="R83" t="s">
        <v>43</v>
      </c>
      <c r="S83" t="s">
        <v>44</v>
      </c>
      <c r="T83" s="8">
        <v>25</v>
      </c>
      <c r="U83" t="s">
        <v>66</v>
      </c>
      <c r="V83" t="s">
        <v>67</v>
      </c>
      <c r="W83" t="s">
        <v>68</v>
      </c>
      <c r="X83" t="s">
        <v>33</v>
      </c>
      <c r="Y83" t="s">
        <v>33</v>
      </c>
      <c r="Z83" t="s">
        <v>33</v>
      </c>
      <c r="AA83" t="s">
        <v>71</v>
      </c>
      <c r="AB83" t="s">
        <v>46</v>
      </c>
    </row>
    <row r="84" spans="1:28" x14ac:dyDescent="0.25">
      <c r="A84" t="s">
        <v>64</v>
      </c>
      <c r="B84" t="s">
        <v>65</v>
      </c>
      <c r="C84" t="s">
        <v>66</v>
      </c>
      <c r="D84" t="s">
        <v>67</v>
      </c>
      <c r="E84" t="s">
        <v>68</v>
      </c>
      <c r="F84" t="s">
        <v>33</v>
      </c>
      <c r="G84" t="s">
        <v>69</v>
      </c>
      <c r="H84" t="s">
        <v>53</v>
      </c>
      <c r="I84" t="s">
        <v>36</v>
      </c>
      <c r="J84" t="s">
        <v>37</v>
      </c>
      <c r="K84" t="s">
        <v>38</v>
      </c>
      <c r="L84" t="s">
        <v>39</v>
      </c>
      <c r="M84" t="s">
        <v>40</v>
      </c>
      <c r="N84" t="s">
        <v>41</v>
      </c>
      <c r="O84" t="s">
        <v>42</v>
      </c>
      <c r="P84">
        <v>1</v>
      </c>
      <c r="Q84" t="s">
        <v>33</v>
      </c>
      <c r="R84" t="s">
        <v>43</v>
      </c>
      <c r="S84" t="s">
        <v>44</v>
      </c>
      <c r="T84" s="8">
        <v>25</v>
      </c>
      <c r="U84" t="s">
        <v>66</v>
      </c>
      <c r="V84" t="s">
        <v>67</v>
      </c>
      <c r="W84" t="s">
        <v>68</v>
      </c>
      <c r="X84" t="s">
        <v>33</v>
      </c>
      <c r="Y84" t="s">
        <v>33</v>
      </c>
      <c r="Z84" t="s">
        <v>33</v>
      </c>
      <c r="AA84" t="s">
        <v>72</v>
      </c>
      <c r="AB84" t="s">
        <v>46</v>
      </c>
    </row>
    <row r="85" spans="1:28" x14ac:dyDescent="0.25">
      <c r="A85" t="s">
        <v>371</v>
      </c>
      <c r="B85" t="s">
        <v>372</v>
      </c>
      <c r="C85" t="s">
        <v>373</v>
      </c>
      <c r="D85" t="s">
        <v>374</v>
      </c>
      <c r="E85" t="s">
        <v>375</v>
      </c>
      <c r="F85" t="s">
        <v>33</v>
      </c>
      <c r="G85" t="s">
        <v>376</v>
      </c>
      <c r="H85" t="s">
        <v>53</v>
      </c>
      <c r="I85" t="s">
        <v>36</v>
      </c>
      <c r="J85" t="s">
        <v>37</v>
      </c>
      <c r="K85" t="s">
        <v>38</v>
      </c>
      <c r="L85" t="s">
        <v>39</v>
      </c>
      <c r="M85" t="s">
        <v>40</v>
      </c>
      <c r="N85" t="s">
        <v>41</v>
      </c>
      <c r="O85" t="s">
        <v>42</v>
      </c>
      <c r="P85">
        <v>1</v>
      </c>
      <c r="Q85" t="s">
        <v>33</v>
      </c>
      <c r="R85" t="s">
        <v>176</v>
      </c>
      <c r="S85" t="s">
        <v>44</v>
      </c>
      <c r="T85" s="8">
        <v>0</v>
      </c>
      <c r="U85" t="s">
        <v>373</v>
      </c>
      <c r="V85" t="s">
        <v>374</v>
      </c>
      <c r="W85" t="s">
        <v>375</v>
      </c>
      <c r="X85" t="s">
        <v>33</v>
      </c>
      <c r="Y85" t="s">
        <v>33</v>
      </c>
      <c r="Z85" t="s">
        <v>33</v>
      </c>
      <c r="AA85" t="s">
        <v>377</v>
      </c>
      <c r="AB85" t="s">
        <v>46</v>
      </c>
    </row>
    <row r="86" spans="1:28" x14ac:dyDescent="0.25">
      <c r="A86" t="s">
        <v>160</v>
      </c>
      <c r="B86" t="s">
        <v>161</v>
      </c>
      <c r="C86" t="s">
        <v>27</v>
      </c>
      <c r="D86" t="s">
        <v>162</v>
      </c>
      <c r="E86" t="s">
        <v>163</v>
      </c>
      <c r="F86" t="s">
        <v>33</v>
      </c>
      <c r="G86" t="s">
        <v>164</v>
      </c>
      <c r="H86" t="s">
        <v>53</v>
      </c>
      <c r="I86" t="s">
        <v>36</v>
      </c>
      <c r="J86" t="s">
        <v>37</v>
      </c>
      <c r="K86" t="s">
        <v>38</v>
      </c>
      <c r="L86" t="s">
        <v>39</v>
      </c>
      <c r="M86" t="s">
        <v>40</v>
      </c>
      <c r="N86" t="s">
        <v>41</v>
      </c>
      <c r="O86" t="s">
        <v>42</v>
      </c>
      <c r="P86">
        <v>1</v>
      </c>
      <c r="Q86" t="s">
        <v>33</v>
      </c>
      <c r="R86" t="s">
        <v>43</v>
      </c>
      <c r="S86" t="s">
        <v>44</v>
      </c>
      <c r="T86" s="8">
        <v>0</v>
      </c>
      <c r="U86" t="s">
        <v>593</v>
      </c>
      <c r="V86" t="s">
        <v>443</v>
      </c>
      <c r="W86" t="s">
        <v>165</v>
      </c>
      <c r="X86" t="s">
        <v>33</v>
      </c>
      <c r="Y86" t="s">
        <v>33</v>
      </c>
      <c r="Z86" t="s">
        <v>33</v>
      </c>
      <c r="AA86" t="s">
        <v>166</v>
      </c>
      <c r="AB86" t="s">
        <v>46</v>
      </c>
    </row>
    <row r="87" spans="1:28" x14ac:dyDescent="0.25">
      <c r="A87" t="s">
        <v>160</v>
      </c>
      <c r="B87" t="s">
        <v>161</v>
      </c>
      <c r="C87" t="s">
        <v>27</v>
      </c>
      <c r="D87" t="s">
        <v>162</v>
      </c>
      <c r="E87" t="s">
        <v>163</v>
      </c>
      <c r="F87" t="s">
        <v>33</v>
      </c>
      <c r="G87" t="s">
        <v>164</v>
      </c>
      <c r="H87" t="s">
        <v>53</v>
      </c>
      <c r="I87" t="s">
        <v>36</v>
      </c>
      <c r="J87" t="s">
        <v>37</v>
      </c>
      <c r="K87" t="s">
        <v>38</v>
      </c>
      <c r="L87" t="s">
        <v>39</v>
      </c>
      <c r="M87" t="s">
        <v>40</v>
      </c>
      <c r="N87" t="s">
        <v>41</v>
      </c>
      <c r="O87" t="s">
        <v>42</v>
      </c>
      <c r="P87">
        <v>1</v>
      </c>
      <c r="Q87" t="s">
        <v>33</v>
      </c>
      <c r="R87" t="s">
        <v>43</v>
      </c>
      <c r="S87" t="s">
        <v>44</v>
      </c>
      <c r="T87" s="8">
        <v>0</v>
      </c>
      <c r="U87" t="s">
        <v>593</v>
      </c>
      <c r="V87" t="s">
        <v>443</v>
      </c>
      <c r="W87" t="s">
        <v>165</v>
      </c>
      <c r="X87" t="s">
        <v>33</v>
      </c>
      <c r="Y87" t="s">
        <v>33</v>
      </c>
      <c r="Z87" t="s">
        <v>33</v>
      </c>
      <c r="AA87" t="s">
        <v>167</v>
      </c>
      <c r="AB87" t="s">
        <v>46</v>
      </c>
    </row>
    <row r="88" spans="1:28" x14ac:dyDescent="0.25">
      <c r="A88" t="s">
        <v>160</v>
      </c>
      <c r="B88" t="s">
        <v>161</v>
      </c>
      <c r="C88" t="s">
        <v>27</v>
      </c>
      <c r="D88" t="s">
        <v>162</v>
      </c>
      <c r="E88" t="s">
        <v>163</v>
      </c>
      <c r="F88" t="s">
        <v>33</v>
      </c>
      <c r="G88" t="s">
        <v>164</v>
      </c>
      <c r="H88" t="s">
        <v>53</v>
      </c>
      <c r="I88" t="s">
        <v>36</v>
      </c>
      <c r="J88" t="s">
        <v>37</v>
      </c>
      <c r="K88" t="s">
        <v>38</v>
      </c>
      <c r="L88" t="s">
        <v>39</v>
      </c>
      <c r="M88" t="s">
        <v>40</v>
      </c>
      <c r="N88" t="s">
        <v>41</v>
      </c>
      <c r="O88" t="s">
        <v>42</v>
      </c>
      <c r="P88">
        <v>1</v>
      </c>
      <c r="Q88" t="s">
        <v>33</v>
      </c>
      <c r="R88" t="s">
        <v>43</v>
      </c>
      <c r="S88" t="s">
        <v>44</v>
      </c>
      <c r="T88" s="8">
        <v>0</v>
      </c>
      <c r="U88" t="s">
        <v>593</v>
      </c>
      <c r="V88" t="s">
        <v>443</v>
      </c>
      <c r="W88" t="s">
        <v>165</v>
      </c>
      <c r="X88" t="s">
        <v>33</v>
      </c>
      <c r="Y88" t="s">
        <v>33</v>
      </c>
      <c r="Z88" t="s">
        <v>33</v>
      </c>
      <c r="AA88" t="s">
        <v>168</v>
      </c>
      <c r="AB88" t="s">
        <v>46</v>
      </c>
    </row>
    <row r="89" spans="1:28" x14ac:dyDescent="0.25">
      <c r="A89" t="s">
        <v>160</v>
      </c>
      <c r="B89" t="s">
        <v>161</v>
      </c>
      <c r="C89" t="s">
        <v>593</v>
      </c>
      <c r="D89" t="s">
        <v>443</v>
      </c>
      <c r="E89" t="s">
        <v>165</v>
      </c>
      <c r="F89" t="s">
        <v>33</v>
      </c>
      <c r="G89" t="s">
        <v>164</v>
      </c>
      <c r="H89" t="s">
        <v>53</v>
      </c>
      <c r="I89" t="s">
        <v>36</v>
      </c>
      <c r="J89" t="s">
        <v>37</v>
      </c>
      <c r="K89" t="s">
        <v>38</v>
      </c>
      <c r="L89" t="s">
        <v>39</v>
      </c>
      <c r="M89" t="s">
        <v>40</v>
      </c>
      <c r="N89" t="s">
        <v>41</v>
      </c>
      <c r="O89" t="s">
        <v>42</v>
      </c>
      <c r="P89">
        <v>1</v>
      </c>
      <c r="Q89" t="s">
        <v>33</v>
      </c>
      <c r="R89" t="s">
        <v>43</v>
      </c>
      <c r="S89" t="s">
        <v>44</v>
      </c>
      <c r="T89" s="8">
        <v>0</v>
      </c>
      <c r="U89" t="s">
        <v>593</v>
      </c>
      <c r="V89" t="s">
        <v>443</v>
      </c>
      <c r="W89" t="s">
        <v>165</v>
      </c>
      <c r="X89" t="s">
        <v>33</v>
      </c>
      <c r="Y89" t="s">
        <v>33</v>
      </c>
      <c r="Z89" t="s">
        <v>33</v>
      </c>
      <c r="AA89" t="s">
        <v>169</v>
      </c>
      <c r="AB89" t="s">
        <v>46</v>
      </c>
    </row>
    <row r="90" spans="1:28" x14ac:dyDescent="0.25">
      <c r="A90" t="s">
        <v>365</v>
      </c>
      <c r="B90" t="s">
        <v>366</v>
      </c>
      <c r="C90" t="s">
        <v>367</v>
      </c>
      <c r="D90" t="s">
        <v>368</v>
      </c>
      <c r="E90" t="s">
        <v>369</v>
      </c>
      <c r="F90" t="s">
        <v>33</v>
      </c>
      <c r="G90" t="s">
        <v>164</v>
      </c>
      <c r="H90" t="s">
        <v>53</v>
      </c>
      <c r="I90" t="s">
        <v>36</v>
      </c>
      <c r="J90" t="s">
        <v>37</v>
      </c>
      <c r="K90" t="s">
        <v>38</v>
      </c>
      <c r="L90" t="s">
        <v>39</v>
      </c>
      <c r="M90" t="s">
        <v>40</v>
      </c>
      <c r="N90" t="s">
        <v>41</v>
      </c>
      <c r="O90" t="s">
        <v>42</v>
      </c>
      <c r="P90">
        <v>1</v>
      </c>
      <c r="Q90" t="s">
        <v>33</v>
      </c>
      <c r="R90" t="s">
        <v>54</v>
      </c>
      <c r="S90" t="s">
        <v>44</v>
      </c>
      <c r="T90" s="8">
        <v>0</v>
      </c>
      <c r="U90" t="s">
        <v>367</v>
      </c>
      <c r="V90" t="s">
        <v>368</v>
      </c>
      <c r="W90" t="s">
        <v>369</v>
      </c>
      <c r="X90" t="s">
        <v>33</v>
      </c>
      <c r="Y90" t="s">
        <v>33</v>
      </c>
      <c r="Z90" t="s">
        <v>33</v>
      </c>
      <c r="AA90" t="s">
        <v>370</v>
      </c>
      <c r="AB90" t="s">
        <v>46</v>
      </c>
    </row>
    <row r="91" spans="1:28" x14ac:dyDescent="0.25">
      <c r="A91" t="s">
        <v>355</v>
      </c>
      <c r="B91" t="s">
        <v>356</v>
      </c>
      <c r="C91" t="s">
        <v>357</v>
      </c>
      <c r="D91" t="s">
        <v>358</v>
      </c>
      <c r="E91" t="s">
        <v>359</v>
      </c>
      <c r="F91" t="s">
        <v>33</v>
      </c>
      <c r="G91" t="s">
        <v>360</v>
      </c>
      <c r="H91" t="s">
        <v>53</v>
      </c>
      <c r="I91" t="s">
        <v>36</v>
      </c>
      <c r="J91" t="s">
        <v>37</v>
      </c>
      <c r="K91" t="s">
        <v>38</v>
      </c>
      <c r="L91" t="s">
        <v>39</v>
      </c>
      <c r="M91" t="s">
        <v>40</v>
      </c>
      <c r="N91" t="s">
        <v>41</v>
      </c>
      <c r="O91" t="s">
        <v>42</v>
      </c>
      <c r="P91">
        <v>1</v>
      </c>
      <c r="Q91" t="s">
        <v>33</v>
      </c>
      <c r="R91" t="s">
        <v>43</v>
      </c>
      <c r="S91" t="s">
        <v>44</v>
      </c>
      <c r="T91" s="8">
        <v>25</v>
      </c>
      <c r="U91" t="s">
        <v>357</v>
      </c>
      <c r="V91" t="s">
        <v>358</v>
      </c>
      <c r="W91" t="s">
        <v>359</v>
      </c>
      <c r="X91" t="s">
        <v>33</v>
      </c>
      <c r="Y91" t="s">
        <v>33</v>
      </c>
      <c r="Z91" t="s">
        <v>33</v>
      </c>
      <c r="AA91" t="s">
        <v>361</v>
      </c>
      <c r="AB91" t="s">
        <v>46</v>
      </c>
    </row>
    <row r="92" spans="1:28" x14ac:dyDescent="0.25">
      <c r="A92" t="s">
        <v>355</v>
      </c>
      <c r="B92" t="s">
        <v>356</v>
      </c>
      <c r="C92" t="s">
        <v>190</v>
      </c>
      <c r="D92" t="s">
        <v>362</v>
      </c>
      <c r="E92" t="s">
        <v>363</v>
      </c>
      <c r="F92" t="s">
        <v>33</v>
      </c>
      <c r="G92" t="s">
        <v>360</v>
      </c>
      <c r="H92" t="s">
        <v>53</v>
      </c>
      <c r="I92" t="s">
        <v>36</v>
      </c>
      <c r="J92" t="s">
        <v>37</v>
      </c>
      <c r="K92" t="s">
        <v>38</v>
      </c>
      <c r="L92" t="s">
        <v>39</v>
      </c>
      <c r="M92" t="s">
        <v>40</v>
      </c>
      <c r="N92" t="s">
        <v>41</v>
      </c>
      <c r="O92" t="s">
        <v>42</v>
      </c>
      <c r="P92">
        <v>1</v>
      </c>
      <c r="Q92" t="s">
        <v>33</v>
      </c>
      <c r="R92" t="s">
        <v>43</v>
      </c>
      <c r="S92" t="s">
        <v>44</v>
      </c>
      <c r="T92" s="8">
        <v>25</v>
      </c>
      <c r="U92" t="s">
        <v>357</v>
      </c>
      <c r="V92" t="s">
        <v>358</v>
      </c>
      <c r="W92" t="s">
        <v>359</v>
      </c>
      <c r="X92" t="s">
        <v>33</v>
      </c>
      <c r="Y92" t="s">
        <v>33</v>
      </c>
      <c r="Z92" t="s">
        <v>33</v>
      </c>
      <c r="AA92" t="s">
        <v>364</v>
      </c>
      <c r="AB92" t="s">
        <v>46</v>
      </c>
    </row>
  </sheetData>
  <autoFilter ref="A1:AB92" xr:uid="{00000000-0001-0000-0000-000000000000}">
    <sortState xmlns:xlrd2="http://schemas.microsoft.com/office/spreadsheetml/2017/richdata2" ref="A2:AB92">
      <sortCondition ref="G1:G92"/>
    </sortState>
  </autoFilter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635D-130E-45CB-BAFB-4ED146C82BF8}">
  <dimension ref="A1:AB97"/>
  <sheetViews>
    <sheetView topLeftCell="A64" workbookViewId="0">
      <selection activeCell="E48" sqref="E48"/>
    </sheetView>
  </sheetViews>
  <sheetFormatPr defaultRowHeight="15" x14ac:dyDescent="0.25"/>
  <cols>
    <col min="1" max="1" width="12" bestFit="1" customWidth="1"/>
    <col min="2" max="2" width="14.85546875" bestFit="1" customWidth="1"/>
    <col min="3" max="3" width="21.42578125" bestFit="1" customWidth="1"/>
    <col min="4" max="4" width="21" bestFit="1" customWidth="1"/>
    <col min="5" max="5" width="42.140625" bestFit="1" customWidth="1"/>
    <col min="6" max="6" width="16.5703125" bestFit="1" customWidth="1"/>
    <col min="7" max="8" width="17" bestFit="1" customWidth="1"/>
    <col min="9" max="9" width="19.28515625" bestFit="1" customWidth="1"/>
    <col min="10" max="10" width="36.7109375" bestFit="1" customWidth="1"/>
    <col min="11" max="11" width="12" bestFit="1" customWidth="1"/>
    <col min="12" max="12" width="17.28515625" bestFit="1" customWidth="1"/>
    <col min="13" max="13" width="17.42578125" bestFit="1" customWidth="1"/>
    <col min="14" max="14" width="17.28515625" bestFit="1" customWidth="1"/>
    <col min="15" max="15" width="20.140625" bestFit="1" customWidth="1"/>
    <col min="16" max="16" width="16.5703125" bestFit="1" customWidth="1"/>
    <col min="17" max="17" width="12.140625" bestFit="1" customWidth="1"/>
    <col min="18" max="18" width="43.140625" bestFit="1" customWidth="1"/>
    <col min="19" max="19" width="11.140625" bestFit="1" customWidth="1"/>
    <col min="20" max="20" width="13.42578125" bestFit="1" customWidth="1"/>
    <col min="21" max="21" width="40.7109375" bestFit="1" customWidth="1"/>
    <col min="22" max="22" width="17.5703125" bestFit="1" customWidth="1"/>
    <col min="23" max="23" width="42.140625" bestFit="1" customWidth="1"/>
    <col min="24" max="26" width="19" bestFit="1" customWidth="1"/>
    <col min="27" max="27" width="18" bestFit="1" customWidth="1"/>
    <col min="28" max="28" width="8.42578125" bestFit="1" customWidth="1"/>
  </cols>
  <sheetData>
    <row r="1" spans="1:28" x14ac:dyDescent="0.25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3" t="s">
        <v>18</v>
      </c>
      <c r="T1" s="33" t="s">
        <v>19</v>
      </c>
      <c r="U1" s="33" t="s">
        <v>20</v>
      </c>
      <c r="V1" s="33" t="s">
        <v>21</v>
      </c>
      <c r="W1" s="33" t="s">
        <v>22</v>
      </c>
      <c r="X1" s="33" t="s">
        <v>23</v>
      </c>
      <c r="Y1" s="33" t="s">
        <v>24</v>
      </c>
      <c r="Z1" s="33" t="s">
        <v>25</v>
      </c>
      <c r="AA1" s="33" t="s">
        <v>26</v>
      </c>
      <c r="AB1" s="33" t="s">
        <v>27</v>
      </c>
    </row>
    <row r="2" spans="1:28" x14ac:dyDescent="0.25">
      <c r="A2" s="33">
        <v>14669709293</v>
      </c>
      <c r="B2" s="34">
        <v>46125.681145833332</v>
      </c>
      <c r="C2" s="33" t="s">
        <v>463</v>
      </c>
      <c r="D2" s="33" t="s">
        <v>464</v>
      </c>
      <c r="E2" s="33" t="s">
        <v>465</v>
      </c>
      <c r="F2" s="33"/>
      <c r="G2" s="33" t="s">
        <v>52</v>
      </c>
      <c r="H2" s="33" t="s">
        <v>53</v>
      </c>
      <c r="I2" s="33" t="s">
        <v>36</v>
      </c>
      <c r="J2" s="33" t="s">
        <v>37</v>
      </c>
      <c r="K2" s="33">
        <v>1985023781566</v>
      </c>
      <c r="L2" s="35">
        <v>46136</v>
      </c>
      <c r="M2" s="36">
        <v>0.4375</v>
      </c>
      <c r="N2" s="33" t="s">
        <v>41</v>
      </c>
      <c r="O2" s="33" t="s">
        <v>42</v>
      </c>
      <c r="P2" s="33">
        <v>1</v>
      </c>
      <c r="Q2" s="33"/>
      <c r="R2" s="33" t="s">
        <v>54</v>
      </c>
      <c r="S2" s="33" t="s">
        <v>44</v>
      </c>
      <c r="T2" s="33">
        <v>0</v>
      </c>
      <c r="U2" s="33" t="s">
        <v>463</v>
      </c>
      <c r="V2" s="33" t="s">
        <v>464</v>
      </c>
      <c r="W2" s="33" t="s">
        <v>465</v>
      </c>
      <c r="X2" s="33"/>
      <c r="Y2" s="33"/>
      <c r="Z2" s="33"/>
      <c r="AA2" s="33">
        <v>1.4669709293226701E+24</v>
      </c>
      <c r="AB2" s="33" t="s">
        <v>46</v>
      </c>
    </row>
    <row r="3" spans="1:28" x14ac:dyDescent="0.25">
      <c r="A3" s="33">
        <v>14648578863</v>
      </c>
      <c r="B3" s="34">
        <v>46122.561469907407</v>
      </c>
      <c r="C3" s="33" t="s">
        <v>373</v>
      </c>
      <c r="D3" s="33" t="s">
        <v>374</v>
      </c>
      <c r="E3" s="33" t="s">
        <v>375</v>
      </c>
      <c r="F3" s="33"/>
      <c r="G3" s="33" t="s">
        <v>376</v>
      </c>
      <c r="H3" s="33" t="s">
        <v>53</v>
      </c>
      <c r="I3" s="33" t="s">
        <v>36</v>
      </c>
      <c r="J3" s="33" t="s">
        <v>37</v>
      </c>
      <c r="K3" s="33">
        <v>1985023781566</v>
      </c>
      <c r="L3" s="35">
        <v>46136</v>
      </c>
      <c r="M3" s="36">
        <v>0.4375</v>
      </c>
      <c r="N3" s="33" t="s">
        <v>41</v>
      </c>
      <c r="O3" s="33" t="s">
        <v>42</v>
      </c>
      <c r="P3" s="33">
        <v>1</v>
      </c>
      <c r="Q3" s="33"/>
      <c r="R3" s="33" t="s">
        <v>176</v>
      </c>
      <c r="S3" s="33" t="s">
        <v>44</v>
      </c>
      <c r="T3" s="33">
        <v>0</v>
      </c>
      <c r="U3" s="33" t="s">
        <v>373</v>
      </c>
      <c r="V3" s="33" t="s">
        <v>374</v>
      </c>
      <c r="W3" s="33" t="s">
        <v>375</v>
      </c>
      <c r="X3" s="33"/>
      <c r="Y3" s="33"/>
      <c r="Z3" s="33"/>
      <c r="AA3" s="33">
        <v>1.46485788632267E+24</v>
      </c>
      <c r="AB3" s="33" t="s">
        <v>46</v>
      </c>
    </row>
    <row r="4" spans="1:28" x14ac:dyDescent="0.25">
      <c r="A4" s="33">
        <v>14624053033</v>
      </c>
      <c r="B4" s="34">
        <v>46119.52920138889</v>
      </c>
      <c r="C4" s="33" t="s">
        <v>226</v>
      </c>
      <c r="D4" s="33" t="s">
        <v>227</v>
      </c>
      <c r="E4" s="33" t="s">
        <v>228</v>
      </c>
      <c r="F4" s="33"/>
      <c r="G4" s="33" t="s">
        <v>52</v>
      </c>
      <c r="H4" s="33" t="s">
        <v>53</v>
      </c>
      <c r="I4" s="33" t="s">
        <v>36</v>
      </c>
      <c r="J4" s="33" t="s">
        <v>37</v>
      </c>
      <c r="K4" s="33">
        <v>1985023781566</v>
      </c>
      <c r="L4" s="35">
        <v>46136</v>
      </c>
      <c r="M4" s="36">
        <v>0.4375</v>
      </c>
      <c r="N4" s="33" t="s">
        <v>41</v>
      </c>
      <c r="O4" s="33" t="s">
        <v>42</v>
      </c>
      <c r="P4" s="33">
        <v>1</v>
      </c>
      <c r="Q4" s="33"/>
      <c r="R4" s="33" t="s">
        <v>54</v>
      </c>
      <c r="S4" s="33" t="s">
        <v>44</v>
      </c>
      <c r="T4" s="33">
        <v>0</v>
      </c>
      <c r="U4" s="33" t="s">
        <v>226</v>
      </c>
      <c r="V4" s="33" t="s">
        <v>227</v>
      </c>
      <c r="W4" s="33" t="s">
        <v>228</v>
      </c>
      <c r="X4" s="33"/>
      <c r="Y4" s="33"/>
      <c r="Z4" s="33"/>
      <c r="AA4" s="33">
        <v>1.46240530332266E+24</v>
      </c>
      <c r="AB4" s="33" t="s">
        <v>46</v>
      </c>
    </row>
    <row r="5" spans="1:28" x14ac:dyDescent="0.25">
      <c r="A5" s="33">
        <v>14482854143</v>
      </c>
      <c r="B5" s="34">
        <v>46098.777488425927</v>
      </c>
      <c r="C5" s="33" t="s">
        <v>49</v>
      </c>
      <c r="D5" s="33" t="s">
        <v>50</v>
      </c>
      <c r="E5" s="33" t="s">
        <v>51</v>
      </c>
      <c r="F5" s="33"/>
      <c r="G5" s="33" t="s">
        <v>52</v>
      </c>
      <c r="H5" s="33" t="s">
        <v>53</v>
      </c>
      <c r="I5" s="33" t="s">
        <v>36</v>
      </c>
      <c r="J5" s="33" t="s">
        <v>37</v>
      </c>
      <c r="K5" s="33">
        <v>1985023781566</v>
      </c>
      <c r="L5" s="35">
        <v>46136</v>
      </c>
      <c r="M5" s="36">
        <v>0.4375</v>
      </c>
      <c r="N5" s="33" t="s">
        <v>41</v>
      </c>
      <c r="O5" s="33" t="s">
        <v>42</v>
      </c>
      <c r="P5" s="33">
        <v>1</v>
      </c>
      <c r="Q5" s="33"/>
      <c r="R5" s="33" t="s">
        <v>54</v>
      </c>
      <c r="S5" s="33" t="s">
        <v>44</v>
      </c>
      <c r="T5" s="33">
        <v>0</v>
      </c>
      <c r="U5" s="33" t="s">
        <v>49</v>
      </c>
      <c r="V5" s="33" t="s">
        <v>50</v>
      </c>
      <c r="W5" s="33" t="s">
        <v>51</v>
      </c>
      <c r="X5" s="33"/>
      <c r="Y5" s="33"/>
      <c r="Z5" s="33"/>
      <c r="AA5" s="33">
        <v>1.4482854143226399E+24</v>
      </c>
      <c r="AB5" s="33" t="s">
        <v>46</v>
      </c>
    </row>
    <row r="6" spans="1:28" x14ac:dyDescent="0.25">
      <c r="A6" s="33">
        <v>14691476323</v>
      </c>
      <c r="B6" s="34">
        <v>46128.381412037037</v>
      </c>
      <c r="C6" s="33" t="s">
        <v>712</v>
      </c>
      <c r="D6" s="33" t="s">
        <v>713</v>
      </c>
      <c r="E6" s="33" t="s">
        <v>714</v>
      </c>
      <c r="F6" s="33"/>
      <c r="G6" s="33" t="s">
        <v>239</v>
      </c>
      <c r="H6" s="33" t="s">
        <v>53</v>
      </c>
      <c r="I6" s="33" t="s">
        <v>36</v>
      </c>
      <c r="J6" s="33" t="s">
        <v>37</v>
      </c>
      <c r="K6" s="33">
        <v>1985023781566</v>
      </c>
      <c r="L6" s="35">
        <v>46136</v>
      </c>
      <c r="M6" s="36">
        <v>0.4375</v>
      </c>
      <c r="N6" s="33" t="s">
        <v>41</v>
      </c>
      <c r="O6" s="33" t="s">
        <v>42</v>
      </c>
      <c r="P6" s="33">
        <v>1</v>
      </c>
      <c r="Q6" s="33"/>
      <c r="R6" s="33" t="s">
        <v>43</v>
      </c>
      <c r="S6" s="33" t="s">
        <v>44</v>
      </c>
      <c r="T6" s="33">
        <v>0</v>
      </c>
      <c r="U6" s="33" t="s">
        <v>712</v>
      </c>
      <c r="V6" s="33" t="s">
        <v>713</v>
      </c>
      <c r="W6" s="33" t="s">
        <v>714</v>
      </c>
      <c r="X6" s="33"/>
      <c r="Y6" s="33"/>
      <c r="Z6" s="33"/>
      <c r="AA6" s="33">
        <v>1.4691476323226701E+24</v>
      </c>
      <c r="AB6" s="33" t="s">
        <v>46</v>
      </c>
    </row>
    <row r="7" spans="1:28" x14ac:dyDescent="0.25">
      <c r="A7" s="33">
        <v>14520824213</v>
      </c>
      <c r="B7" s="34">
        <v>46104.434803240743</v>
      </c>
      <c r="C7" s="33" t="s">
        <v>81</v>
      </c>
      <c r="D7" s="33" t="s">
        <v>82</v>
      </c>
      <c r="E7" s="33" t="s">
        <v>83</v>
      </c>
      <c r="F7" s="33"/>
      <c r="G7" s="33" t="s">
        <v>84</v>
      </c>
      <c r="H7" s="33" t="s">
        <v>53</v>
      </c>
      <c r="I7" s="33" t="s">
        <v>36</v>
      </c>
      <c r="J7" s="33" t="s">
        <v>37</v>
      </c>
      <c r="K7" s="33">
        <v>1985023781566</v>
      </c>
      <c r="L7" s="35">
        <v>46136</v>
      </c>
      <c r="M7" s="36">
        <v>0.4375</v>
      </c>
      <c r="N7" s="33" t="s">
        <v>41</v>
      </c>
      <c r="O7" s="33" t="s">
        <v>42</v>
      </c>
      <c r="P7" s="33">
        <v>1</v>
      </c>
      <c r="Q7" s="33"/>
      <c r="R7" s="33" t="s">
        <v>43</v>
      </c>
      <c r="S7" s="33" t="s">
        <v>44</v>
      </c>
      <c r="T7" s="33">
        <v>25</v>
      </c>
      <c r="U7" s="33" t="s">
        <v>81</v>
      </c>
      <c r="V7" s="33" t="s">
        <v>82</v>
      </c>
      <c r="W7" s="33" t="s">
        <v>83</v>
      </c>
      <c r="X7" s="33"/>
      <c r="Y7" s="33"/>
      <c r="Z7" s="33"/>
      <c r="AA7" s="33">
        <v>1.4520824213226501E+24</v>
      </c>
      <c r="AB7" s="33" t="s">
        <v>46</v>
      </c>
    </row>
    <row r="8" spans="1:28" x14ac:dyDescent="0.25">
      <c r="A8" s="33">
        <v>14630738233</v>
      </c>
      <c r="B8" s="34">
        <v>46120.426747685182</v>
      </c>
      <c r="C8" s="33" t="s">
        <v>254</v>
      </c>
      <c r="D8" s="33" t="s">
        <v>255</v>
      </c>
      <c r="E8" s="33" t="s">
        <v>256</v>
      </c>
      <c r="F8" s="33"/>
      <c r="G8" s="33" t="s">
        <v>34</v>
      </c>
      <c r="H8" s="33" t="s">
        <v>35</v>
      </c>
      <c r="I8" s="33" t="s">
        <v>36</v>
      </c>
      <c r="J8" s="33" t="s">
        <v>37</v>
      </c>
      <c r="K8" s="33">
        <v>1985023781566</v>
      </c>
      <c r="L8" s="35">
        <v>46136</v>
      </c>
      <c r="M8" s="36">
        <v>0.4375</v>
      </c>
      <c r="N8" s="33" t="s">
        <v>41</v>
      </c>
      <c r="O8" s="33" t="s">
        <v>42</v>
      </c>
      <c r="P8" s="33">
        <v>1</v>
      </c>
      <c r="Q8" s="33"/>
      <c r="R8" s="33" t="s">
        <v>43</v>
      </c>
      <c r="S8" s="33" t="s">
        <v>44</v>
      </c>
      <c r="T8" s="33">
        <v>25</v>
      </c>
      <c r="U8" s="33" t="s">
        <v>254</v>
      </c>
      <c r="V8" s="33" t="s">
        <v>255</v>
      </c>
      <c r="W8" s="33" t="s">
        <v>256</v>
      </c>
      <c r="X8" s="33"/>
      <c r="Y8" s="33"/>
      <c r="Z8" s="33"/>
      <c r="AA8" s="33">
        <v>1.4630738233226601E+24</v>
      </c>
      <c r="AB8" s="33" t="s">
        <v>46</v>
      </c>
    </row>
    <row r="9" spans="1:28" x14ac:dyDescent="0.25">
      <c r="A9" s="33">
        <v>14675563553</v>
      </c>
      <c r="B9" s="34">
        <v>46126.465231481481</v>
      </c>
      <c r="C9" s="33" t="s">
        <v>480</v>
      </c>
      <c r="D9" s="33" t="s">
        <v>481</v>
      </c>
      <c r="E9" s="33" t="s">
        <v>482</v>
      </c>
      <c r="F9" s="33"/>
      <c r="G9" s="33" t="s">
        <v>52</v>
      </c>
      <c r="H9" s="33" t="s">
        <v>53</v>
      </c>
      <c r="I9" s="33" t="s">
        <v>36</v>
      </c>
      <c r="J9" s="33" t="s">
        <v>37</v>
      </c>
      <c r="K9" s="33">
        <v>1985023781566</v>
      </c>
      <c r="L9" s="35">
        <v>46136</v>
      </c>
      <c r="M9" s="36">
        <v>0.4375</v>
      </c>
      <c r="N9" s="33" t="s">
        <v>41</v>
      </c>
      <c r="O9" s="33" t="s">
        <v>42</v>
      </c>
      <c r="P9" s="33">
        <v>1</v>
      </c>
      <c r="Q9" s="33"/>
      <c r="R9" s="33" t="s">
        <v>54</v>
      </c>
      <c r="S9" s="33" t="s">
        <v>44</v>
      </c>
      <c r="T9" s="33">
        <v>0</v>
      </c>
      <c r="U9" s="33" t="s">
        <v>480</v>
      </c>
      <c r="V9" s="33" t="s">
        <v>481</v>
      </c>
      <c r="W9" s="33" t="s">
        <v>482</v>
      </c>
      <c r="X9" s="33"/>
      <c r="Y9" s="33"/>
      <c r="Z9" s="33"/>
      <c r="AA9" s="33">
        <v>1.46755635532267E+24</v>
      </c>
      <c r="AB9" s="33" t="s">
        <v>46</v>
      </c>
    </row>
    <row r="10" spans="1:28" x14ac:dyDescent="0.25">
      <c r="A10" s="33">
        <v>14647360163</v>
      </c>
      <c r="B10" s="34">
        <v>46122.459594907406</v>
      </c>
      <c r="C10" s="33" t="s">
        <v>357</v>
      </c>
      <c r="D10" s="33" t="s">
        <v>358</v>
      </c>
      <c r="E10" s="33" t="s">
        <v>359</v>
      </c>
      <c r="F10" s="33"/>
      <c r="G10" s="33" t="s">
        <v>360</v>
      </c>
      <c r="H10" s="33" t="s">
        <v>53</v>
      </c>
      <c r="I10" s="33" t="s">
        <v>36</v>
      </c>
      <c r="J10" s="33" t="s">
        <v>37</v>
      </c>
      <c r="K10" s="33">
        <v>1985023781566</v>
      </c>
      <c r="L10" s="35">
        <v>46136</v>
      </c>
      <c r="M10" s="36">
        <v>0.4375</v>
      </c>
      <c r="N10" s="33" t="s">
        <v>41</v>
      </c>
      <c r="O10" s="33" t="s">
        <v>42</v>
      </c>
      <c r="P10" s="33">
        <v>1</v>
      </c>
      <c r="Q10" s="33"/>
      <c r="R10" s="33" t="s">
        <v>43</v>
      </c>
      <c r="S10" s="33" t="s">
        <v>44</v>
      </c>
      <c r="T10" s="33">
        <v>25</v>
      </c>
      <c r="U10" s="33" t="s">
        <v>357</v>
      </c>
      <c r="V10" s="33" t="s">
        <v>358</v>
      </c>
      <c r="W10" s="33" t="s">
        <v>359</v>
      </c>
      <c r="X10" s="33"/>
      <c r="Y10" s="33"/>
      <c r="Z10" s="33"/>
      <c r="AA10" s="33">
        <v>1.4647360163226699E+24</v>
      </c>
      <c r="AB10" s="33" t="s">
        <v>46</v>
      </c>
    </row>
    <row r="11" spans="1:28" x14ac:dyDescent="0.25">
      <c r="A11" s="33">
        <v>14533132763</v>
      </c>
      <c r="B11" s="34">
        <v>46105.998460648145</v>
      </c>
      <c r="C11" s="33" t="s">
        <v>88</v>
      </c>
      <c r="D11" s="33" t="s">
        <v>89</v>
      </c>
      <c r="E11" s="33" t="s">
        <v>90</v>
      </c>
      <c r="F11" s="33"/>
      <c r="G11" s="33" t="s">
        <v>52</v>
      </c>
      <c r="H11" s="33" t="s">
        <v>53</v>
      </c>
      <c r="I11" s="33" t="s">
        <v>36</v>
      </c>
      <c r="J11" s="33" t="s">
        <v>37</v>
      </c>
      <c r="K11" s="33">
        <v>1985023781566</v>
      </c>
      <c r="L11" s="35">
        <v>46136</v>
      </c>
      <c r="M11" s="36">
        <v>0.4375</v>
      </c>
      <c r="N11" s="33" t="s">
        <v>41</v>
      </c>
      <c r="O11" s="33" t="s">
        <v>42</v>
      </c>
      <c r="P11" s="33">
        <v>1</v>
      </c>
      <c r="Q11" s="33"/>
      <c r="R11" s="33" t="s">
        <v>54</v>
      </c>
      <c r="S11" s="33" t="s">
        <v>44</v>
      </c>
      <c r="T11" s="33">
        <v>0</v>
      </c>
      <c r="U11" s="33" t="s">
        <v>88</v>
      </c>
      <c r="V11" s="33" t="s">
        <v>89</v>
      </c>
      <c r="W11" s="33" t="s">
        <v>90</v>
      </c>
      <c r="X11" s="33"/>
      <c r="Y11" s="33"/>
      <c r="Z11" s="33"/>
      <c r="AA11" s="33">
        <v>1.45331327632265E+24</v>
      </c>
      <c r="AB11" s="33" t="s">
        <v>46</v>
      </c>
    </row>
    <row r="12" spans="1:28" x14ac:dyDescent="0.25">
      <c r="A12" s="33">
        <v>14644133363</v>
      </c>
      <c r="B12" s="34">
        <v>46122.012430555558</v>
      </c>
      <c r="C12" s="33" t="s">
        <v>329</v>
      </c>
      <c r="D12" s="33" t="s">
        <v>330</v>
      </c>
      <c r="E12" s="33" t="s">
        <v>331</v>
      </c>
      <c r="F12" s="33"/>
      <c r="G12" s="33" t="s">
        <v>52</v>
      </c>
      <c r="H12" s="33" t="s">
        <v>53</v>
      </c>
      <c r="I12" s="33" t="s">
        <v>36</v>
      </c>
      <c r="J12" s="33" t="s">
        <v>37</v>
      </c>
      <c r="K12" s="33">
        <v>1985023781566</v>
      </c>
      <c r="L12" s="35">
        <v>46136</v>
      </c>
      <c r="M12" s="36">
        <v>0.4375</v>
      </c>
      <c r="N12" s="33" t="s">
        <v>41</v>
      </c>
      <c r="O12" s="33" t="s">
        <v>42</v>
      </c>
      <c r="P12" s="33">
        <v>1</v>
      </c>
      <c r="Q12" s="33"/>
      <c r="R12" s="33" t="s">
        <v>176</v>
      </c>
      <c r="S12" s="33" t="s">
        <v>44</v>
      </c>
      <c r="T12" s="33">
        <v>0</v>
      </c>
      <c r="U12" s="33" t="s">
        <v>329</v>
      </c>
      <c r="V12" s="33" t="s">
        <v>330</v>
      </c>
      <c r="W12" s="33" t="s">
        <v>331</v>
      </c>
      <c r="X12" s="33"/>
      <c r="Y12" s="33"/>
      <c r="Z12" s="33"/>
      <c r="AA12" s="33">
        <v>1.4644133363226701E+24</v>
      </c>
      <c r="AB12" s="33" t="s">
        <v>46</v>
      </c>
    </row>
    <row r="13" spans="1:28" x14ac:dyDescent="0.25">
      <c r="A13" s="33">
        <v>14480359583</v>
      </c>
      <c r="B13" s="34">
        <v>46098.522777777776</v>
      </c>
      <c r="C13" s="33" t="s">
        <v>30</v>
      </c>
      <c r="D13" s="33" t="s">
        <v>31</v>
      </c>
      <c r="E13" s="33" t="s">
        <v>32</v>
      </c>
      <c r="F13" s="33"/>
      <c r="G13" s="33" t="s">
        <v>34</v>
      </c>
      <c r="H13" s="33" t="s">
        <v>35</v>
      </c>
      <c r="I13" s="33" t="s">
        <v>36</v>
      </c>
      <c r="J13" s="33" t="s">
        <v>37</v>
      </c>
      <c r="K13" s="33">
        <v>1985023781566</v>
      </c>
      <c r="L13" s="35">
        <v>46136</v>
      </c>
      <c r="M13" s="36">
        <v>0.4375</v>
      </c>
      <c r="N13" s="33" t="s">
        <v>41</v>
      </c>
      <c r="O13" s="33" t="s">
        <v>42</v>
      </c>
      <c r="P13" s="33">
        <v>1</v>
      </c>
      <c r="Q13" s="33"/>
      <c r="R13" s="33" t="s">
        <v>43</v>
      </c>
      <c r="S13" s="33" t="s">
        <v>44</v>
      </c>
      <c r="T13" s="33">
        <v>25</v>
      </c>
      <c r="U13" s="33" t="s">
        <v>30</v>
      </c>
      <c r="V13" s="33" t="s">
        <v>31</v>
      </c>
      <c r="W13" s="33" t="s">
        <v>32</v>
      </c>
      <c r="X13" s="33"/>
      <c r="Y13" s="33"/>
      <c r="Z13" s="33"/>
      <c r="AA13" s="33">
        <v>1.4480359583226399E+24</v>
      </c>
      <c r="AB13" s="33" t="s">
        <v>46</v>
      </c>
    </row>
    <row r="14" spans="1:28" x14ac:dyDescent="0.25">
      <c r="A14" s="33">
        <v>14623337733</v>
      </c>
      <c r="B14" s="34">
        <v>46119.462488425925</v>
      </c>
      <c r="C14" s="33" t="s">
        <v>202</v>
      </c>
      <c r="D14" s="33" t="s">
        <v>203</v>
      </c>
      <c r="E14" s="33" t="s">
        <v>204</v>
      </c>
      <c r="F14" s="33"/>
      <c r="G14" s="33" t="s">
        <v>52</v>
      </c>
      <c r="H14" s="33" t="s">
        <v>53</v>
      </c>
      <c r="I14" s="33" t="s">
        <v>36</v>
      </c>
      <c r="J14" s="33" t="s">
        <v>37</v>
      </c>
      <c r="K14" s="33">
        <v>1985023781566</v>
      </c>
      <c r="L14" s="35">
        <v>46136</v>
      </c>
      <c r="M14" s="36">
        <v>0.4375</v>
      </c>
      <c r="N14" s="33" t="s">
        <v>41</v>
      </c>
      <c r="O14" s="33" t="s">
        <v>42</v>
      </c>
      <c r="P14" s="33">
        <v>1</v>
      </c>
      <c r="Q14" s="33"/>
      <c r="R14" s="33" t="s">
        <v>54</v>
      </c>
      <c r="S14" s="33" t="s">
        <v>44</v>
      </c>
      <c r="T14" s="33">
        <v>0</v>
      </c>
      <c r="U14" s="33" t="s">
        <v>202</v>
      </c>
      <c r="V14" s="33" t="s">
        <v>203</v>
      </c>
      <c r="W14" s="33" t="s">
        <v>204</v>
      </c>
      <c r="X14" s="33"/>
      <c r="Y14" s="33"/>
      <c r="Z14" s="33"/>
      <c r="AA14" s="33">
        <v>1.46233377332266E+24</v>
      </c>
      <c r="AB14" s="33" t="s">
        <v>46</v>
      </c>
    </row>
    <row r="15" spans="1:28" x14ac:dyDescent="0.25">
      <c r="A15" s="33">
        <v>14635735183</v>
      </c>
      <c r="B15" s="34">
        <v>46120.965532407405</v>
      </c>
      <c r="C15" s="33" t="s">
        <v>285</v>
      </c>
      <c r="D15" s="33" t="s">
        <v>286</v>
      </c>
      <c r="E15" s="33" t="s">
        <v>287</v>
      </c>
      <c r="F15" s="33"/>
      <c r="G15" s="33" t="s">
        <v>239</v>
      </c>
      <c r="H15" s="33" t="s">
        <v>53</v>
      </c>
      <c r="I15" s="33" t="s">
        <v>36</v>
      </c>
      <c r="J15" s="33" t="s">
        <v>37</v>
      </c>
      <c r="K15" s="33">
        <v>1985023781566</v>
      </c>
      <c r="L15" s="35">
        <v>46136</v>
      </c>
      <c r="M15" s="36">
        <v>0.4375</v>
      </c>
      <c r="N15" s="33" t="s">
        <v>41</v>
      </c>
      <c r="O15" s="33" t="s">
        <v>42</v>
      </c>
      <c r="P15" s="33">
        <v>1</v>
      </c>
      <c r="Q15" s="33"/>
      <c r="R15" s="33" t="s">
        <v>43</v>
      </c>
      <c r="S15" s="33" t="s">
        <v>44</v>
      </c>
      <c r="T15" s="33">
        <v>0</v>
      </c>
      <c r="U15" s="33" t="s">
        <v>285</v>
      </c>
      <c r="V15" s="33" t="s">
        <v>286</v>
      </c>
      <c r="W15" s="33" t="s">
        <v>287</v>
      </c>
      <c r="X15" s="33"/>
      <c r="Y15" s="33"/>
      <c r="Z15" s="33"/>
      <c r="AA15" s="33">
        <v>1.4635735183226601E+24</v>
      </c>
      <c r="AB15" s="33" t="s">
        <v>46</v>
      </c>
    </row>
    <row r="16" spans="1:28" x14ac:dyDescent="0.25">
      <c r="A16" s="33">
        <v>14693569763</v>
      </c>
      <c r="B16" s="34">
        <v>46128.562569444446</v>
      </c>
      <c r="C16" s="33" t="s">
        <v>156</v>
      </c>
      <c r="D16" s="33" t="s">
        <v>715</v>
      </c>
      <c r="E16" s="33" t="s">
        <v>716</v>
      </c>
      <c r="F16" s="33"/>
      <c r="G16" s="33" t="s">
        <v>52</v>
      </c>
      <c r="H16" s="33" t="s">
        <v>53</v>
      </c>
      <c r="I16" s="33" t="s">
        <v>36</v>
      </c>
      <c r="J16" s="33" t="s">
        <v>37</v>
      </c>
      <c r="K16" s="33">
        <v>1985023781566</v>
      </c>
      <c r="L16" s="35">
        <v>46136</v>
      </c>
      <c r="M16" s="36">
        <v>0.4375</v>
      </c>
      <c r="N16" s="33" t="s">
        <v>41</v>
      </c>
      <c r="O16" s="33" t="s">
        <v>42</v>
      </c>
      <c r="P16" s="33">
        <v>1</v>
      </c>
      <c r="Q16" s="33"/>
      <c r="R16" s="33" t="s">
        <v>176</v>
      </c>
      <c r="S16" s="33" t="s">
        <v>44</v>
      </c>
      <c r="T16" s="33">
        <v>0</v>
      </c>
      <c r="U16" s="33" t="s">
        <v>156</v>
      </c>
      <c r="V16" s="33" t="s">
        <v>715</v>
      </c>
      <c r="W16" s="33" t="s">
        <v>716</v>
      </c>
      <c r="X16" s="33"/>
      <c r="Y16" s="33"/>
      <c r="Z16" s="33"/>
      <c r="AA16" s="33">
        <v>1.46935697632267E+24</v>
      </c>
      <c r="AB16" s="33" t="s">
        <v>46</v>
      </c>
    </row>
    <row r="17" spans="1:28" x14ac:dyDescent="0.25">
      <c r="A17" s="46">
        <v>14650005793</v>
      </c>
      <c r="B17" s="51">
        <v>46122.684953703705</v>
      </c>
      <c r="C17" s="46" t="s">
        <v>395</v>
      </c>
      <c r="D17" s="46" t="s">
        <v>396</v>
      </c>
      <c r="E17" s="46" t="s">
        <v>397</v>
      </c>
      <c r="F17" s="46"/>
      <c r="G17" s="46" t="s">
        <v>52</v>
      </c>
      <c r="H17" s="46" t="s">
        <v>53</v>
      </c>
      <c r="I17" s="46" t="s">
        <v>36</v>
      </c>
      <c r="J17" s="46" t="s">
        <v>37</v>
      </c>
      <c r="K17" s="46">
        <v>1985023781566</v>
      </c>
      <c r="L17" s="52">
        <v>46136</v>
      </c>
      <c r="M17" s="53">
        <v>0.4375</v>
      </c>
      <c r="N17" s="46" t="s">
        <v>41</v>
      </c>
      <c r="O17" s="46" t="s">
        <v>42</v>
      </c>
      <c r="P17" s="46">
        <v>1</v>
      </c>
      <c r="Q17" s="46"/>
      <c r="R17" s="46" t="s">
        <v>54</v>
      </c>
      <c r="S17" s="46" t="s">
        <v>44</v>
      </c>
      <c r="T17" s="46">
        <v>0</v>
      </c>
      <c r="U17" s="46" t="s">
        <v>395</v>
      </c>
      <c r="V17" s="46" t="s">
        <v>396</v>
      </c>
      <c r="W17" s="46" t="s">
        <v>397</v>
      </c>
      <c r="X17" s="46"/>
      <c r="Y17" s="46"/>
      <c r="Z17" s="46"/>
      <c r="AA17" s="46">
        <v>1.4650005793226699E+24</v>
      </c>
      <c r="AB17" s="46" t="s">
        <v>46</v>
      </c>
    </row>
    <row r="18" spans="1:28" x14ac:dyDescent="0.25">
      <c r="A18" s="46">
        <v>14650005793</v>
      </c>
      <c r="B18" s="51">
        <v>46122.684953703705</v>
      </c>
      <c r="C18" s="46" t="s">
        <v>155</v>
      </c>
      <c r="D18" s="46" t="s">
        <v>155</v>
      </c>
      <c r="E18" s="46" t="s">
        <v>397</v>
      </c>
      <c r="F18" s="46"/>
      <c r="G18" s="46" t="s">
        <v>52</v>
      </c>
      <c r="H18" s="46" t="s">
        <v>53</v>
      </c>
      <c r="I18" s="46" t="s">
        <v>36</v>
      </c>
      <c r="J18" s="46" t="s">
        <v>37</v>
      </c>
      <c r="K18" s="46">
        <v>1985023781566</v>
      </c>
      <c r="L18" s="52">
        <v>46136</v>
      </c>
      <c r="M18" s="53">
        <v>0.4375</v>
      </c>
      <c r="N18" s="46" t="s">
        <v>41</v>
      </c>
      <c r="O18" s="46" t="s">
        <v>42</v>
      </c>
      <c r="P18" s="46">
        <v>1</v>
      </c>
      <c r="Q18" s="46"/>
      <c r="R18" s="46" t="s">
        <v>176</v>
      </c>
      <c r="S18" s="46" t="s">
        <v>44</v>
      </c>
      <c r="T18" s="46">
        <v>0</v>
      </c>
      <c r="U18" s="46" t="s">
        <v>395</v>
      </c>
      <c r="V18" s="46" t="s">
        <v>396</v>
      </c>
      <c r="W18" s="46" t="s">
        <v>397</v>
      </c>
      <c r="X18" s="46"/>
      <c r="Y18" s="46"/>
      <c r="Z18" s="46"/>
      <c r="AA18" s="46">
        <v>1.4650005793226699E+24</v>
      </c>
      <c r="AB18" s="46" t="s">
        <v>46</v>
      </c>
    </row>
    <row r="19" spans="1:28" x14ac:dyDescent="0.25">
      <c r="A19" s="33">
        <v>14626736493</v>
      </c>
      <c r="B19" s="34">
        <v>46119.805150462962</v>
      </c>
      <c r="C19" s="33" t="s">
        <v>248</v>
      </c>
      <c r="D19" s="33" t="s">
        <v>249</v>
      </c>
      <c r="E19" s="33" t="s">
        <v>250</v>
      </c>
      <c r="F19" s="33"/>
      <c r="G19" s="33" t="s">
        <v>52</v>
      </c>
      <c r="H19" s="33" t="s">
        <v>53</v>
      </c>
      <c r="I19" s="33" t="s">
        <v>36</v>
      </c>
      <c r="J19" s="33" t="s">
        <v>37</v>
      </c>
      <c r="K19" s="33">
        <v>1985023781566</v>
      </c>
      <c r="L19" s="35">
        <v>46136</v>
      </c>
      <c r="M19" s="36">
        <v>0.4375</v>
      </c>
      <c r="N19" s="33" t="s">
        <v>41</v>
      </c>
      <c r="O19" s="33" t="s">
        <v>42</v>
      </c>
      <c r="P19" s="33">
        <v>1</v>
      </c>
      <c r="Q19" s="33"/>
      <c r="R19" s="33" t="s">
        <v>43</v>
      </c>
      <c r="S19" s="33" t="s">
        <v>44</v>
      </c>
      <c r="T19" s="33">
        <v>25</v>
      </c>
      <c r="U19" s="33" t="s">
        <v>248</v>
      </c>
      <c r="V19" s="33" t="s">
        <v>249</v>
      </c>
      <c r="W19" s="33" t="s">
        <v>250</v>
      </c>
      <c r="X19" s="33"/>
      <c r="Y19" s="33"/>
      <c r="Z19" s="33"/>
      <c r="AA19" s="33">
        <v>1.46267364932266E+24</v>
      </c>
      <c r="AB19" s="33" t="s">
        <v>46</v>
      </c>
    </row>
    <row r="20" spans="1:28" x14ac:dyDescent="0.25">
      <c r="A20" s="33">
        <v>14668961273</v>
      </c>
      <c r="B20" s="34">
        <v>46125.611666666664</v>
      </c>
      <c r="C20" s="33" t="s">
        <v>445</v>
      </c>
      <c r="D20" s="33" t="s">
        <v>446</v>
      </c>
      <c r="E20" s="33" t="s">
        <v>447</v>
      </c>
      <c r="F20" s="33"/>
      <c r="G20" s="33" t="s">
        <v>52</v>
      </c>
      <c r="H20" s="33" t="s">
        <v>53</v>
      </c>
      <c r="I20" s="33" t="s">
        <v>36</v>
      </c>
      <c r="J20" s="33" t="s">
        <v>37</v>
      </c>
      <c r="K20" s="33">
        <v>1985023781566</v>
      </c>
      <c r="L20" s="35">
        <v>46136</v>
      </c>
      <c r="M20" s="36">
        <v>0.4375</v>
      </c>
      <c r="N20" s="33" t="s">
        <v>41</v>
      </c>
      <c r="O20" s="33" t="s">
        <v>42</v>
      </c>
      <c r="P20" s="33">
        <v>1</v>
      </c>
      <c r="Q20" s="33"/>
      <c r="R20" s="33" t="s">
        <v>43</v>
      </c>
      <c r="S20" s="33" t="s">
        <v>44</v>
      </c>
      <c r="T20" s="33">
        <v>25</v>
      </c>
      <c r="U20" s="33" t="s">
        <v>442</v>
      </c>
      <c r="V20" s="33" t="s">
        <v>443</v>
      </c>
      <c r="W20" s="33" t="s">
        <v>238</v>
      </c>
      <c r="X20" s="33"/>
      <c r="Y20" s="33"/>
      <c r="Z20" s="33"/>
      <c r="AA20" s="33">
        <v>1.4668961273226699E+24</v>
      </c>
      <c r="AB20" s="33" t="s">
        <v>46</v>
      </c>
    </row>
    <row r="21" spans="1:28" x14ac:dyDescent="0.25">
      <c r="A21" s="33">
        <v>14647360163</v>
      </c>
      <c r="B21" s="34">
        <v>46122.459594907406</v>
      </c>
      <c r="C21" s="33" t="s">
        <v>190</v>
      </c>
      <c r="D21" s="33" t="s">
        <v>362</v>
      </c>
      <c r="E21" s="33" t="s">
        <v>363</v>
      </c>
      <c r="F21" s="33"/>
      <c r="G21" s="33" t="s">
        <v>360</v>
      </c>
      <c r="H21" s="33" t="s">
        <v>53</v>
      </c>
      <c r="I21" s="33" t="s">
        <v>36</v>
      </c>
      <c r="J21" s="33" t="s">
        <v>37</v>
      </c>
      <c r="K21" s="33">
        <v>1985023781566</v>
      </c>
      <c r="L21" s="35">
        <v>46136</v>
      </c>
      <c r="M21" s="36">
        <v>0.4375</v>
      </c>
      <c r="N21" s="33" t="s">
        <v>41</v>
      </c>
      <c r="O21" s="33" t="s">
        <v>42</v>
      </c>
      <c r="P21" s="33">
        <v>1</v>
      </c>
      <c r="Q21" s="33"/>
      <c r="R21" s="33" t="s">
        <v>43</v>
      </c>
      <c r="S21" s="33" t="s">
        <v>44</v>
      </c>
      <c r="T21" s="33">
        <v>25</v>
      </c>
      <c r="U21" s="33" t="s">
        <v>357</v>
      </c>
      <c r="V21" s="33" t="s">
        <v>358</v>
      </c>
      <c r="W21" s="33" t="s">
        <v>359</v>
      </c>
      <c r="X21" s="33"/>
      <c r="Y21" s="33"/>
      <c r="Z21" s="33"/>
      <c r="AA21" s="33">
        <v>1.4647360163226699E+24</v>
      </c>
      <c r="AB21" s="33" t="s">
        <v>46</v>
      </c>
    </row>
    <row r="22" spans="1:28" x14ac:dyDescent="0.25">
      <c r="A22" s="33">
        <v>14676260933</v>
      </c>
      <c r="B22" s="34">
        <v>46126.52416666667</v>
      </c>
      <c r="C22" s="33" t="s">
        <v>120</v>
      </c>
      <c r="D22" s="33" t="s">
        <v>486</v>
      </c>
      <c r="E22" s="33" t="s">
        <v>487</v>
      </c>
      <c r="F22" s="33"/>
      <c r="G22" s="33" t="s">
        <v>52</v>
      </c>
      <c r="H22" s="33" t="s">
        <v>53</v>
      </c>
      <c r="I22" s="33" t="s">
        <v>36</v>
      </c>
      <c r="J22" s="33" t="s">
        <v>37</v>
      </c>
      <c r="K22" s="33">
        <v>1985023781566</v>
      </c>
      <c r="L22" s="35">
        <v>46136</v>
      </c>
      <c r="M22" s="36">
        <v>0.4375</v>
      </c>
      <c r="N22" s="33" t="s">
        <v>41</v>
      </c>
      <c r="O22" s="33" t="s">
        <v>42</v>
      </c>
      <c r="P22" s="33">
        <v>1</v>
      </c>
      <c r="Q22" s="33"/>
      <c r="R22" s="33" t="s">
        <v>54</v>
      </c>
      <c r="S22" s="33" t="s">
        <v>44</v>
      </c>
      <c r="T22" s="33">
        <v>0</v>
      </c>
      <c r="U22" s="33" t="s">
        <v>120</v>
      </c>
      <c r="V22" s="33" t="s">
        <v>486</v>
      </c>
      <c r="W22" s="33" t="s">
        <v>487</v>
      </c>
      <c r="X22" s="33"/>
      <c r="Y22" s="33"/>
      <c r="Z22" s="33"/>
      <c r="AA22" s="33">
        <v>1.4676260933226699E+24</v>
      </c>
      <c r="AB22" s="33" t="s">
        <v>46</v>
      </c>
    </row>
    <row r="23" spans="1:28" x14ac:dyDescent="0.25">
      <c r="A23" s="33">
        <v>14682580943</v>
      </c>
      <c r="B23" s="34">
        <v>46127.33090277778</v>
      </c>
      <c r="C23" s="33" t="s">
        <v>515</v>
      </c>
      <c r="D23" s="33" t="s">
        <v>516</v>
      </c>
      <c r="E23" s="33" t="s">
        <v>517</v>
      </c>
      <c r="F23" s="33"/>
      <c r="G23" s="33" t="s">
        <v>518</v>
      </c>
      <c r="H23" s="33" t="s">
        <v>53</v>
      </c>
      <c r="I23" s="33" t="s">
        <v>36</v>
      </c>
      <c r="J23" s="33" t="s">
        <v>37</v>
      </c>
      <c r="K23" s="33">
        <v>1985023781566</v>
      </c>
      <c r="L23" s="35">
        <v>46136</v>
      </c>
      <c r="M23" s="36">
        <v>0.4375</v>
      </c>
      <c r="N23" s="33" t="s">
        <v>41</v>
      </c>
      <c r="O23" s="33" t="s">
        <v>42</v>
      </c>
      <c r="P23" s="33">
        <v>1</v>
      </c>
      <c r="Q23" s="33"/>
      <c r="R23" s="33" t="s">
        <v>43</v>
      </c>
      <c r="S23" s="33" t="s">
        <v>44</v>
      </c>
      <c r="T23" s="33">
        <v>25</v>
      </c>
      <c r="U23" s="33" t="s">
        <v>515</v>
      </c>
      <c r="V23" s="33" t="s">
        <v>516</v>
      </c>
      <c r="W23" s="33" t="s">
        <v>517</v>
      </c>
      <c r="X23" s="33"/>
      <c r="Y23" s="33"/>
      <c r="Z23" s="33"/>
      <c r="AA23" s="33">
        <v>1.4682580943226699E+24</v>
      </c>
      <c r="AB23" s="33" t="s">
        <v>46</v>
      </c>
    </row>
    <row r="24" spans="1:28" x14ac:dyDescent="0.25">
      <c r="A24" s="33">
        <v>14685719343</v>
      </c>
      <c r="B24" s="34">
        <v>46127.610567129632</v>
      </c>
      <c r="C24" s="33" t="s">
        <v>546</v>
      </c>
      <c r="D24" s="33" t="s">
        <v>547</v>
      </c>
      <c r="E24" s="33" t="s">
        <v>548</v>
      </c>
      <c r="F24" s="33"/>
      <c r="G24" s="33" t="s">
        <v>275</v>
      </c>
      <c r="H24" s="33" t="s">
        <v>53</v>
      </c>
      <c r="I24" s="33" t="s">
        <v>36</v>
      </c>
      <c r="J24" s="33" t="s">
        <v>37</v>
      </c>
      <c r="K24" s="33">
        <v>1985023781566</v>
      </c>
      <c r="L24" s="35">
        <v>46136</v>
      </c>
      <c r="M24" s="36">
        <v>0.4375</v>
      </c>
      <c r="N24" s="33" t="s">
        <v>41</v>
      </c>
      <c r="O24" s="33" t="s">
        <v>42</v>
      </c>
      <c r="P24" s="33">
        <v>1</v>
      </c>
      <c r="Q24" s="33"/>
      <c r="R24" s="33" t="s">
        <v>176</v>
      </c>
      <c r="S24" s="33" t="s">
        <v>44</v>
      </c>
      <c r="T24" s="33">
        <v>0</v>
      </c>
      <c r="U24" s="33" t="s">
        <v>546</v>
      </c>
      <c r="V24" s="33" t="s">
        <v>547</v>
      </c>
      <c r="W24" s="33" t="s">
        <v>548</v>
      </c>
      <c r="X24" s="33"/>
      <c r="Y24" s="33"/>
      <c r="Z24" s="33"/>
      <c r="AA24" s="33">
        <v>1.4685719343226701E+24</v>
      </c>
      <c r="AB24" s="33" t="s">
        <v>46</v>
      </c>
    </row>
    <row r="25" spans="1:28" x14ac:dyDescent="0.25">
      <c r="A25" s="33">
        <v>14685727473</v>
      </c>
      <c r="B25" s="34">
        <v>46127.611226851855</v>
      </c>
      <c r="C25" s="33" t="s">
        <v>552</v>
      </c>
      <c r="D25" s="33" t="s">
        <v>553</v>
      </c>
      <c r="E25" s="33" t="s">
        <v>554</v>
      </c>
      <c r="F25" s="33"/>
      <c r="G25" s="33" t="s">
        <v>52</v>
      </c>
      <c r="H25" s="33" t="s">
        <v>53</v>
      </c>
      <c r="I25" s="33" t="s">
        <v>36</v>
      </c>
      <c r="J25" s="33" t="s">
        <v>37</v>
      </c>
      <c r="K25" s="33">
        <v>1985023781566</v>
      </c>
      <c r="L25" s="35">
        <v>46136</v>
      </c>
      <c r="M25" s="36">
        <v>0.4375</v>
      </c>
      <c r="N25" s="33" t="s">
        <v>41</v>
      </c>
      <c r="O25" s="33" t="s">
        <v>42</v>
      </c>
      <c r="P25" s="33">
        <v>1</v>
      </c>
      <c r="Q25" s="33"/>
      <c r="R25" s="33" t="s">
        <v>54</v>
      </c>
      <c r="S25" s="33" t="s">
        <v>44</v>
      </c>
      <c r="T25" s="33">
        <v>0</v>
      </c>
      <c r="U25" s="33" t="s">
        <v>552</v>
      </c>
      <c r="V25" s="33" t="s">
        <v>553</v>
      </c>
      <c r="W25" s="33" t="s">
        <v>554</v>
      </c>
      <c r="X25" s="33"/>
      <c r="Y25" s="33"/>
      <c r="Z25" s="33"/>
      <c r="AA25" s="33">
        <v>1.4685727473226699E+24</v>
      </c>
      <c r="AB25" s="33" t="s">
        <v>46</v>
      </c>
    </row>
    <row r="26" spans="1:28" x14ac:dyDescent="0.25">
      <c r="A26" s="33">
        <v>14623349573</v>
      </c>
      <c r="B26" s="34">
        <v>46119.463587962964</v>
      </c>
      <c r="C26" s="33" t="s">
        <v>208</v>
      </c>
      <c r="D26" s="33" t="s">
        <v>209</v>
      </c>
      <c r="E26" s="33" t="s">
        <v>210</v>
      </c>
      <c r="F26" s="33"/>
      <c r="G26" s="33" t="s">
        <v>52</v>
      </c>
      <c r="H26" s="33" t="s">
        <v>53</v>
      </c>
      <c r="I26" s="33" t="s">
        <v>36</v>
      </c>
      <c r="J26" s="33" t="s">
        <v>37</v>
      </c>
      <c r="K26" s="33">
        <v>1985023781566</v>
      </c>
      <c r="L26" s="35">
        <v>46136</v>
      </c>
      <c r="M26" s="36">
        <v>0.4375</v>
      </c>
      <c r="N26" s="33" t="s">
        <v>41</v>
      </c>
      <c r="O26" s="33" t="s">
        <v>42</v>
      </c>
      <c r="P26" s="33">
        <v>1</v>
      </c>
      <c r="Q26" s="33"/>
      <c r="R26" s="33" t="s">
        <v>54</v>
      </c>
      <c r="S26" s="33" t="s">
        <v>44</v>
      </c>
      <c r="T26" s="33">
        <v>0</v>
      </c>
      <c r="U26" s="33" t="s">
        <v>208</v>
      </c>
      <c r="V26" s="33" t="s">
        <v>209</v>
      </c>
      <c r="W26" s="33" t="s">
        <v>210</v>
      </c>
      <c r="X26" s="33"/>
      <c r="Y26" s="33"/>
      <c r="Z26" s="33"/>
      <c r="AA26" s="33">
        <v>1.4623349573226599E+24</v>
      </c>
      <c r="AB26" s="33" t="s">
        <v>46</v>
      </c>
    </row>
    <row r="27" spans="1:28" x14ac:dyDescent="0.25">
      <c r="A27" s="46">
        <v>14588091613</v>
      </c>
      <c r="B27" s="51">
        <v>46113.806840277779</v>
      </c>
      <c r="C27" s="46" t="s">
        <v>156</v>
      </c>
      <c r="D27" s="46" t="s">
        <v>157</v>
      </c>
      <c r="E27" s="46" t="s">
        <v>155</v>
      </c>
      <c r="F27" s="46"/>
      <c r="G27" s="46" t="s">
        <v>52</v>
      </c>
      <c r="H27" s="46" t="s">
        <v>53</v>
      </c>
      <c r="I27" s="46" t="s">
        <v>36</v>
      </c>
      <c r="J27" s="46" t="s">
        <v>37</v>
      </c>
      <c r="K27" s="46">
        <v>1985023781566</v>
      </c>
      <c r="L27" s="52">
        <v>46136</v>
      </c>
      <c r="M27" s="53">
        <v>0.4375</v>
      </c>
      <c r="N27" s="46" t="s">
        <v>41</v>
      </c>
      <c r="O27" s="46" t="s">
        <v>42</v>
      </c>
      <c r="P27" s="46">
        <v>1</v>
      </c>
      <c r="Q27" s="46"/>
      <c r="R27" s="46" t="s">
        <v>54</v>
      </c>
      <c r="S27" s="46" t="s">
        <v>44</v>
      </c>
      <c r="T27" s="46">
        <v>0</v>
      </c>
      <c r="U27" s="46" t="s">
        <v>156</v>
      </c>
      <c r="V27" s="46" t="s">
        <v>157</v>
      </c>
      <c r="W27" s="46" t="s">
        <v>158</v>
      </c>
      <c r="X27" s="46"/>
      <c r="Y27" s="46"/>
      <c r="Z27" s="46"/>
      <c r="AA27" s="46">
        <v>1.4588091613226601E+24</v>
      </c>
      <c r="AB27" s="46" t="s">
        <v>46</v>
      </c>
    </row>
    <row r="28" spans="1:28" x14ac:dyDescent="0.25">
      <c r="A28" s="46">
        <v>14642906293</v>
      </c>
      <c r="B28" s="51">
        <v>46121.81858796296</v>
      </c>
      <c r="C28" s="46" t="s">
        <v>318</v>
      </c>
      <c r="D28" s="46" t="s">
        <v>156</v>
      </c>
      <c r="E28" s="46" t="s">
        <v>155</v>
      </c>
      <c r="F28" s="46"/>
      <c r="G28" s="46" t="s">
        <v>52</v>
      </c>
      <c r="H28" s="46" t="s">
        <v>53</v>
      </c>
      <c r="I28" s="46" t="s">
        <v>36</v>
      </c>
      <c r="J28" s="46" t="s">
        <v>37</v>
      </c>
      <c r="K28" s="46">
        <v>1985023781566</v>
      </c>
      <c r="L28" s="52">
        <v>46136</v>
      </c>
      <c r="M28" s="53">
        <v>0.4375</v>
      </c>
      <c r="N28" s="46" t="s">
        <v>41</v>
      </c>
      <c r="O28" s="46" t="s">
        <v>42</v>
      </c>
      <c r="P28" s="46">
        <v>1</v>
      </c>
      <c r="Q28" s="46"/>
      <c r="R28" s="46" t="s">
        <v>176</v>
      </c>
      <c r="S28" s="46" t="s">
        <v>44</v>
      </c>
      <c r="T28" s="46">
        <v>0</v>
      </c>
      <c r="U28" s="46" t="s">
        <v>318</v>
      </c>
      <c r="V28" s="46" t="s">
        <v>156</v>
      </c>
      <c r="W28" s="46" t="s">
        <v>319</v>
      </c>
      <c r="X28" s="46"/>
      <c r="Y28" s="46"/>
      <c r="Z28" s="46"/>
      <c r="AA28" s="46">
        <v>1.4642906293226699E+24</v>
      </c>
      <c r="AB28" s="46" t="s">
        <v>46</v>
      </c>
    </row>
    <row r="29" spans="1:28" x14ac:dyDescent="0.25">
      <c r="A29" s="46">
        <v>14646344513</v>
      </c>
      <c r="B29" s="51">
        <v>46122.362708333334</v>
      </c>
      <c r="C29" s="46" t="s">
        <v>335</v>
      </c>
      <c r="D29" s="46" t="s">
        <v>336</v>
      </c>
      <c r="E29" s="46" t="s">
        <v>155</v>
      </c>
      <c r="F29" s="46"/>
      <c r="G29" s="46" t="s">
        <v>52</v>
      </c>
      <c r="H29" s="46" t="s">
        <v>53</v>
      </c>
      <c r="I29" s="46" t="s">
        <v>36</v>
      </c>
      <c r="J29" s="46" t="s">
        <v>37</v>
      </c>
      <c r="K29" s="46">
        <v>1985023781566</v>
      </c>
      <c r="L29" s="52">
        <v>46136</v>
      </c>
      <c r="M29" s="53">
        <v>0.4375</v>
      </c>
      <c r="N29" s="46" t="s">
        <v>41</v>
      </c>
      <c r="O29" s="46" t="s">
        <v>42</v>
      </c>
      <c r="P29" s="46">
        <v>1</v>
      </c>
      <c r="Q29" s="46"/>
      <c r="R29" s="46" t="s">
        <v>54</v>
      </c>
      <c r="S29" s="46" t="s">
        <v>44</v>
      </c>
      <c r="T29" s="46">
        <v>0</v>
      </c>
      <c r="U29" s="46" t="s">
        <v>335</v>
      </c>
      <c r="V29" s="46" t="s">
        <v>336</v>
      </c>
      <c r="W29" s="46" t="s">
        <v>337</v>
      </c>
      <c r="X29" s="46"/>
      <c r="Y29" s="46"/>
      <c r="Z29" s="46"/>
      <c r="AA29" s="46">
        <v>1.46463445132267E+24</v>
      </c>
      <c r="AB29" s="46" t="s">
        <v>46</v>
      </c>
    </row>
    <row r="30" spans="1:28" x14ac:dyDescent="0.25">
      <c r="A30" s="54">
        <v>14648682173</v>
      </c>
      <c r="B30" s="55">
        <v>46122.570185185185</v>
      </c>
      <c r="C30" s="54" t="s">
        <v>380</v>
      </c>
      <c r="D30" s="54" t="s">
        <v>381</v>
      </c>
      <c r="E30" s="54" t="s">
        <v>155</v>
      </c>
      <c r="F30" s="54"/>
      <c r="G30" s="54" t="s">
        <v>175</v>
      </c>
      <c r="H30" s="54" t="s">
        <v>53</v>
      </c>
      <c r="I30" s="54" t="s">
        <v>36</v>
      </c>
      <c r="J30" s="54" t="s">
        <v>37</v>
      </c>
      <c r="K30" s="54">
        <v>1985023781566</v>
      </c>
      <c r="L30" s="56">
        <v>46136</v>
      </c>
      <c r="M30" s="57">
        <v>0.4375</v>
      </c>
      <c r="N30" s="54" t="s">
        <v>41</v>
      </c>
      <c r="O30" s="54" t="s">
        <v>42</v>
      </c>
      <c r="P30" s="54">
        <v>1</v>
      </c>
      <c r="Q30" s="54"/>
      <c r="R30" s="54" t="s">
        <v>176</v>
      </c>
      <c r="S30" s="54" t="s">
        <v>44</v>
      </c>
      <c r="T30" s="54">
        <v>0</v>
      </c>
      <c r="U30" s="54" t="s">
        <v>380</v>
      </c>
      <c r="V30" s="54" t="s">
        <v>381</v>
      </c>
      <c r="W30" s="54" t="s">
        <v>382</v>
      </c>
      <c r="X30" s="54"/>
      <c r="Y30" s="54"/>
      <c r="Z30" s="54"/>
      <c r="AA30" s="54">
        <v>1.4648682173226699E+24</v>
      </c>
      <c r="AB30" s="54" t="s">
        <v>46</v>
      </c>
    </row>
    <row r="31" spans="1:28" x14ac:dyDescent="0.25">
      <c r="A31" s="54">
        <v>14648682173</v>
      </c>
      <c r="B31" s="55">
        <v>46122.570185185185</v>
      </c>
      <c r="C31" s="54" t="s">
        <v>155</v>
      </c>
      <c r="D31" s="54" t="s">
        <v>155</v>
      </c>
      <c r="E31" s="54" t="s">
        <v>155</v>
      </c>
      <c r="F31" s="54"/>
      <c r="G31" s="54" t="s">
        <v>175</v>
      </c>
      <c r="H31" s="54" t="s">
        <v>53</v>
      </c>
      <c r="I31" s="54" t="s">
        <v>36</v>
      </c>
      <c r="J31" s="54" t="s">
        <v>37</v>
      </c>
      <c r="K31" s="54">
        <v>1985023781566</v>
      </c>
      <c r="L31" s="56">
        <v>46136</v>
      </c>
      <c r="M31" s="57">
        <v>0.4375</v>
      </c>
      <c r="N31" s="54" t="s">
        <v>41</v>
      </c>
      <c r="O31" s="54" t="s">
        <v>42</v>
      </c>
      <c r="P31" s="54">
        <v>1</v>
      </c>
      <c r="Q31" s="54"/>
      <c r="R31" s="54" t="s">
        <v>176</v>
      </c>
      <c r="S31" s="54" t="s">
        <v>44</v>
      </c>
      <c r="T31" s="54">
        <v>0</v>
      </c>
      <c r="U31" s="54" t="s">
        <v>380</v>
      </c>
      <c r="V31" s="54" t="s">
        <v>381</v>
      </c>
      <c r="W31" s="54" t="s">
        <v>382</v>
      </c>
      <c r="X31" s="54"/>
      <c r="Y31" s="54"/>
      <c r="Z31" s="54"/>
      <c r="AA31" s="54">
        <v>1.4648682173226699E+24</v>
      </c>
      <c r="AB31" s="54" t="s">
        <v>46</v>
      </c>
    </row>
    <row r="32" spans="1:28" x14ac:dyDescent="0.25">
      <c r="A32" s="54">
        <v>14648682173</v>
      </c>
      <c r="B32" s="55">
        <v>46122.570185185185</v>
      </c>
      <c r="C32" s="54" t="s">
        <v>155</v>
      </c>
      <c r="D32" s="54" t="s">
        <v>155</v>
      </c>
      <c r="E32" s="54" t="s">
        <v>155</v>
      </c>
      <c r="F32" s="54"/>
      <c r="G32" s="54" t="s">
        <v>175</v>
      </c>
      <c r="H32" s="54" t="s">
        <v>53</v>
      </c>
      <c r="I32" s="54" t="s">
        <v>36</v>
      </c>
      <c r="J32" s="54" t="s">
        <v>37</v>
      </c>
      <c r="K32" s="54">
        <v>1985023781566</v>
      </c>
      <c r="L32" s="56">
        <v>46136</v>
      </c>
      <c r="M32" s="57">
        <v>0.4375</v>
      </c>
      <c r="N32" s="54" t="s">
        <v>41</v>
      </c>
      <c r="O32" s="54" t="s">
        <v>42</v>
      </c>
      <c r="P32" s="54">
        <v>1</v>
      </c>
      <c r="Q32" s="54"/>
      <c r="R32" s="54" t="s">
        <v>176</v>
      </c>
      <c r="S32" s="54" t="s">
        <v>44</v>
      </c>
      <c r="T32" s="54">
        <v>0</v>
      </c>
      <c r="U32" s="54" t="s">
        <v>380</v>
      </c>
      <c r="V32" s="54" t="s">
        <v>381</v>
      </c>
      <c r="W32" s="54" t="s">
        <v>382</v>
      </c>
      <c r="X32" s="54"/>
      <c r="Y32" s="54"/>
      <c r="Z32" s="54"/>
      <c r="AA32" s="54">
        <v>1.4648682173226699E+24</v>
      </c>
      <c r="AB32" s="54" t="s">
        <v>46</v>
      </c>
    </row>
    <row r="33" spans="1:28" x14ac:dyDescent="0.25">
      <c r="A33" s="54">
        <v>14648682173</v>
      </c>
      <c r="B33" s="55">
        <v>46122.570185185185</v>
      </c>
      <c r="C33" s="54" t="s">
        <v>155</v>
      </c>
      <c r="D33" s="54" t="s">
        <v>155</v>
      </c>
      <c r="E33" s="54" t="s">
        <v>155</v>
      </c>
      <c r="F33" s="54"/>
      <c r="G33" s="54" t="s">
        <v>175</v>
      </c>
      <c r="H33" s="54" t="s">
        <v>53</v>
      </c>
      <c r="I33" s="54" t="s">
        <v>36</v>
      </c>
      <c r="J33" s="54" t="s">
        <v>37</v>
      </c>
      <c r="K33" s="54">
        <v>1985023781566</v>
      </c>
      <c r="L33" s="56">
        <v>46136</v>
      </c>
      <c r="M33" s="57">
        <v>0.4375</v>
      </c>
      <c r="N33" s="54" t="s">
        <v>41</v>
      </c>
      <c r="O33" s="54" t="s">
        <v>42</v>
      </c>
      <c r="P33" s="54">
        <v>1</v>
      </c>
      <c r="Q33" s="54"/>
      <c r="R33" s="54" t="s">
        <v>176</v>
      </c>
      <c r="S33" s="54" t="s">
        <v>44</v>
      </c>
      <c r="T33" s="54">
        <v>0</v>
      </c>
      <c r="U33" s="54" t="s">
        <v>380</v>
      </c>
      <c r="V33" s="54" t="s">
        <v>381</v>
      </c>
      <c r="W33" s="54" t="s">
        <v>382</v>
      </c>
      <c r="X33" s="54"/>
      <c r="Y33" s="54"/>
      <c r="Z33" s="54"/>
      <c r="AA33" s="54">
        <v>1.4648682173226699E+24</v>
      </c>
      <c r="AB33" s="54" t="s">
        <v>46</v>
      </c>
    </row>
    <row r="34" spans="1:28" x14ac:dyDescent="0.25">
      <c r="A34" s="46">
        <v>14666174883</v>
      </c>
      <c r="B34" s="51">
        <v>46125.369189814817</v>
      </c>
      <c r="C34" s="46" t="s">
        <v>409</v>
      </c>
      <c r="D34" s="46" t="s">
        <v>410</v>
      </c>
      <c r="E34" s="46" t="s">
        <v>155</v>
      </c>
      <c r="F34" s="46"/>
      <c r="G34" s="46" t="s">
        <v>408</v>
      </c>
      <c r="H34" s="46" t="s">
        <v>53</v>
      </c>
      <c r="I34" s="46" t="s">
        <v>36</v>
      </c>
      <c r="J34" s="46" t="s">
        <v>37</v>
      </c>
      <c r="K34" s="46">
        <v>1985023781566</v>
      </c>
      <c r="L34" s="52">
        <v>46136</v>
      </c>
      <c r="M34" s="53">
        <v>0.4375</v>
      </c>
      <c r="N34" s="46" t="s">
        <v>41</v>
      </c>
      <c r="O34" s="46" t="s">
        <v>42</v>
      </c>
      <c r="P34" s="46">
        <v>1</v>
      </c>
      <c r="Q34" s="46"/>
      <c r="R34" s="46" t="s">
        <v>54</v>
      </c>
      <c r="S34" s="46" t="s">
        <v>44</v>
      </c>
      <c r="T34" s="46">
        <v>0</v>
      </c>
      <c r="U34" s="46" t="s">
        <v>409</v>
      </c>
      <c r="V34" s="46" t="s">
        <v>410</v>
      </c>
      <c r="W34" s="46" t="s">
        <v>411</v>
      </c>
      <c r="X34" s="46"/>
      <c r="Y34" s="46"/>
      <c r="Z34" s="46"/>
      <c r="AA34" s="46">
        <v>1.46661748832267E+24</v>
      </c>
      <c r="AB34" s="46" t="s">
        <v>46</v>
      </c>
    </row>
    <row r="35" spans="1:28" x14ac:dyDescent="0.25">
      <c r="A35" s="46">
        <v>14669453853</v>
      </c>
      <c r="B35" s="51">
        <v>46125.656319444446</v>
      </c>
      <c r="C35" s="46" t="s">
        <v>457</v>
      </c>
      <c r="D35" s="46" t="s">
        <v>458</v>
      </c>
      <c r="E35" s="46" t="s">
        <v>155</v>
      </c>
      <c r="F35" s="46"/>
      <c r="G35" s="46" t="s">
        <v>52</v>
      </c>
      <c r="H35" s="46" t="s">
        <v>53</v>
      </c>
      <c r="I35" s="46" t="s">
        <v>36</v>
      </c>
      <c r="J35" s="46" t="s">
        <v>37</v>
      </c>
      <c r="K35" s="46">
        <v>1985023781566</v>
      </c>
      <c r="L35" s="52">
        <v>46136</v>
      </c>
      <c r="M35" s="53">
        <v>0.4375</v>
      </c>
      <c r="N35" s="46" t="s">
        <v>41</v>
      </c>
      <c r="O35" s="46" t="s">
        <v>42</v>
      </c>
      <c r="P35" s="46">
        <v>1</v>
      </c>
      <c r="Q35" s="46"/>
      <c r="R35" s="46" t="s">
        <v>176</v>
      </c>
      <c r="S35" s="46" t="s">
        <v>44</v>
      </c>
      <c r="T35" s="46">
        <v>0</v>
      </c>
      <c r="U35" s="46" t="s">
        <v>457</v>
      </c>
      <c r="V35" s="46" t="s">
        <v>458</v>
      </c>
      <c r="W35" s="46" t="s">
        <v>459</v>
      </c>
      <c r="X35" s="46"/>
      <c r="Y35" s="46"/>
      <c r="Z35" s="46"/>
      <c r="AA35" s="46">
        <v>1.46694538532267E+24</v>
      </c>
      <c r="AB35" s="46" t="s">
        <v>46</v>
      </c>
    </row>
    <row r="36" spans="1:28" x14ac:dyDescent="0.25">
      <c r="A36" s="33">
        <v>14647319883</v>
      </c>
      <c r="B36" s="34">
        <v>46122.456736111111</v>
      </c>
      <c r="C36" s="33" t="s">
        <v>347</v>
      </c>
      <c r="D36" s="33" t="s">
        <v>348</v>
      </c>
      <c r="E36" s="33" t="s">
        <v>349</v>
      </c>
      <c r="F36" s="33"/>
      <c r="G36" s="33" t="s">
        <v>52</v>
      </c>
      <c r="H36" s="33" t="s">
        <v>53</v>
      </c>
      <c r="I36" s="33" t="s">
        <v>36</v>
      </c>
      <c r="J36" s="33" t="s">
        <v>37</v>
      </c>
      <c r="K36" s="33">
        <v>1985023781566</v>
      </c>
      <c r="L36" s="35">
        <v>46136</v>
      </c>
      <c r="M36" s="36">
        <v>0.4375</v>
      </c>
      <c r="N36" s="33" t="s">
        <v>41</v>
      </c>
      <c r="O36" s="33" t="s">
        <v>42</v>
      </c>
      <c r="P36" s="33">
        <v>1</v>
      </c>
      <c r="Q36" s="33"/>
      <c r="R36" s="33" t="s">
        <v>176</v>
      </c>
      <c r="S36" s="33" t="s">
        <v>44</v>
      </c>
      <c r="T36" s="33">
        <v>0</v>
      </c>
      <c r="U36" s="33" t="s">
        <v>347</v>
      </c>
      <c r="V36" s="33" t="s">
        <v>348</v>
      </c>
      <c r="W36" s="33" t="s">
        <v>349</v>
      </c>
      <c r="X36" s="33"/>
      <c r="Y36" s="33"/>
      <c r="Z36" s="33"/>
      <c r="AA36" s="33">
        <v>1.46473198832267E+24</v>
      </c>
      <c r="AB36" s="33" t="s">
        <v>46</v>
      </c>
    </row>
    <row r="37" spans="1:28" x14ac:dyDescent="0.25">
      <c r="A37" s="33">
        <v>14623362313</v>
      </c>
      <c r="B37" s="34">
        <v>46119.464826388888</v>
      </c>
      <c r="C37" s="33" t="s">
        <v>220</v>
      </c>
      <c r="D37" s="33" t="s">
        <v>221</v>
      </c>
      <c r="E37" s="33" t="s">
        <v>222</v>
      </c>
      <c r="F37" s="33"/>
      <c r="G37" s="33" t="s">
        <v>52</v>
      </c>
      <c r="H37" s="33" t="s">
        <v>53</v>
      </c>
      <c r="I37" s="33" t="s">
        <v>36</v>
      </c>
      <c r="J37" s="33" t="s">
        <v>37</v>
      </c>
      <c r="K37" s="33">
        <v>1985023781566</v>
      </c>
      <c r="L37" s="35">
        <v>46136</v>
      </c>
      <c r="M37" s="36">
        <v>0.4375</v>
      </c>
      <c r="N37" s="33" t="s">
        <v>41</v>
      </c>
      <c r="O37" s="33" t="s">
        <v>42</v>
      </c>
      <c r="P37" s="33">
        <v>1</v>
      </c>
      <c r="Q37" s="33"/>
      <c r="R37" s="33" t="s">
        <v>54</v>
      </c>
      <c r="S37" s="33" t="s">
        <v>44</v>
      </c>
      <c r="T37" s="33">
        <v>0</v>
      </c>
      <c r="U37" s="33" t="s">
        <v>220</v>
      </c>
      <c r="V37" s="33" t="s">
        <v>221</v>
      </c>
      <c r="W37" s="33" t="s">
        <v>222</v>
      </c>
      <c r="X37" s="33"/>
      <c r="Y37" s="33"/>
      <c r="Z37" s="33"/>
      <c r="AA37" s="33">
        <v>1.4623362313226601E+24</v>
      </c>
      <c r="AB37" s="33" t="s">
        <v>46</v>
      </c>
    </row>
    <row r="38" spans="1:28" x14ac:dyDescent="0.25">
      <c r="A38" s="33">
        <v>14623336623</v>
      </c>
      <c r="B38" s="34">
        <v>46119.462384259263</v>
      </c>
      <c r="C38" s="33" t="s">
        <v>196</v>
      </c>
      <c r="D38" s="33" t="s">
        <v>197</v>
      </c>
      <c r="E38" s="33" t="s">
        <v>198</v>
      </c>
      <c r="F38" s="33"/>
      <c r="G38" s="33" t="s">
        <v>52</v>
      </c>
      <c r="H38" s="33" t="s">
        <v>53</v>
      </c>
      <c r="I38" s="33" t="s">
        <v>36</v>
      </c>
      <c r="J38" s="33" t="s">
        <v>37</v>
      </c>
      <c r="K38" s="33">
        <v>1985023781566</v>
      </c>
      <c r="L38" s="35">
        <v>46136</v>
      </c>
      <c r="M38" s="36">
        <v>0.4375</v>
      </c>
      <c r="N38" s="33" t="s">
        <v>41</v>
      </c>
      <c r="O38" s="33" t="s">
        <v>42</v>
      </c>
      <c r="P38" s="33">
        <v>1</v>
      </c>
      <c r="Q38" s="33"/>
      <c r="R38" s="33" t="s">
        <v>54</v>
      </c>
      <c r="S38" s="33" t="s">
        <v>44</v>
      </c>
      <c r="T38" s="33">
        <v>0</v>
      </c>
      <c r="U38" s="33" t="s">
        <v>196</v>
      </c>
      <c r="V38" s="33" t="s">
        <v>197</v>
      </c>
      <c r="W38" s="33" t="s">
        <v>198</v>
      </c>
      <c r="X38" s="33"/>
      <c r="Y38" s="33"/>
      <c r="Z38" s="33"/>
      <c r="AA38" s="33">
        <v>1.46233366232266E+24</v>
      </c>
      <c r="AB38" s="33" t="s">
        <v>46</v>
      </c>
    </row>
    <row r="39" spans="1:28" x14ac:dyDescent="0.25">
      <c r="A39" s="33">
        <v>14633356293</v>
      </c>
      <c r="B39" s="34">
        <v>46120.660428240742</v>
      </c>
      <c r="C39" s="33" t="s">
        <v>279</v>
      </c>
      <c r="D39" s="33" t="s">
        <v>280</v>
      </c>
      <c r="E39" s="33" t="s">
        <v>281</v>
      </c>
      <c r="F39" s="33"/>
      <c r="G39" s="33" t="s">
        <v>34</v>
      </c>
      <c r="H39" s="33" t="s">
        <v>35</v>
      </c>
      <c r="I39" s="33" t="s">
        <v>36</v>
      </c>
      <c r="J39" s="33" t="s">
        <v>37</v>
      </c>
      <c r="K39" s="33">
        <v>1985023781566</v>
      </c>
      <c r="L39" s="35">
        <v>46136</v>
      </c>
      <c r="M39" s="36">
        <v>0.4375</v>
      </c>
      <c r="N39" s="33" t="s">
        <v>41</v>
      </c>
      <c r="O39" s="33" t="s">
        <v>42</v>
      </c>
      <c r="P39" s="33">
        <v>1</v>
      </c>
      <c r="Q39" s="33"/>
      <c r="R39" s="33" t="s">
        <v>142</v>
      </c>
      <c r="S39" s="33" t="s">
        <v>44</v>
      </c>
      <c r="T39" s="33">
        <v>250</v>
      </c>
      <c r="U39" s="33" t="s">
        <v>279</v>
      </c>
      <c r="V39" s="33" t="s">
        <v>280</v>
      </c>
      <c r="W39" s="33" t="s">
        <v>281</v>
      </c>
      <c r="X39" s="33"/>
      <c r="Y39" s="33"/>
      <c r="Z39" s="33"/>
      <c r="AA39" s="33">
        <v>1.46333562932266E+24</v>
      </c>
      <c r="AB39" s="33" t="s">
        <v>46</v>
      </c>
    </row>
    <row r="40" spans="1:28" x14ac:dyDescent="0.25">
      <c r="A40" s="33">
        <v>14667974013</v>
      </c>
      <c r="B40" s="34">
        <v>46125.525740740741</v>
      </c>
      <c r="C40" s="33" t="s">
        <v>433</v>
      </c>
      <c r="D40" s="33" t="s">
        <v>434</v>
      </c>
      <c r="E40" s="33" t="s">
        <v>435</v>
      </c>
      <c r="F40" s="33"/>
      <c r="G40" s="33" t="s">
        <v>52</v>
      </c>
      <c r="H40" s="33" t="s">
        <v>53</v>
      </c>
      <c r="I40" s="33" t="s">
        <v>36</v>
      </c>
      <c r="J40" s="33" t="s">
        <v>37</v>
      </c>
      <c r="K40" s="33">
        <v>1985023781566</v>
      </c>
      <c r="L40" s="35">
        <v>46136</v>
      </c>
      <c r="M40" s="36">
        <v>0.4375</v>
      </c>
      <c r="N40" s="33" t="s">
        <v>41</v>
      </c>
      <c r="O40" s="33" t="s">
        <v>42</v>
      </c>
      <c r="P40" s="33">
        <v>1</v>
      </c>
      <c r="Q40" s="33"/>
      <c r="R40" s="33" t="s">
        <v>176</v>
      </c>
      <c r="S40" s="33" t="s">
        <v>44</v>
      </c>
      <c r="T40" s="33">
        <v>0</v>
      </c>
      <c r="U40" s="33" t="s">
        <v>433</v>
      </c>
      <c r="V40" s="33" t="s">
        <v>434</v>
      </c>
      <c r="W40" s="33" t="s">
        <v>435</v>
      </c>
      <c r="X40" s="33"/>
      <c r="Y40" s="33"/>
      <c r="Z40" s="33"/>
      <c r="AA40" s="33">
        <v>1.4667974013226699E+24</v>
      </c>
      <c r="AB40" s="33" t="s">
        <v>46</v>
      </c>
    </row>
    <row r="41" spans="1:28" x14ac:dyDescent="0.25">
      <c r="A41" s="33">
        <v>14694014103</v>
      </c>
      <c r="B41" s="34">
        <v>46128.600532407407</v>
      </c>
      <c r="C41" s="33" t="s">
        <v>49</v>
      </c>
      <c r="D41" s="33" t="s">
        <v>717</v>
      </c>
      <c r="E41" s="33" t="s">
        <v>718</v>
      </c>
      <c r="F41" s="33"/>
      <c r="G41" s="33" t="s">
        <v>294</v>
      </c>
      <c r="H41" s="33" t="s">
        <v>53</v>
      </c>
      <c r="I41" s="33" t="s">
        <v>36</v>
      </c>
      <c r="J41" s="33" t="s">
        <v>37</v>
      </c>
      <c r="K41" s="33">
        <v>1985023781566</v>
      </c>
      <c r="L41" s="35">
        <v>46136</v>
      </c>
      <c r="M41" s="36">
        <v>0.4375</v>
      </c>
      <c r="N41" s="33" t="s">
        <v>41</v>
      </c>
      <c r="O41" s="33" t="s">
        <v>42</v>
      </c>
      <c r="P41" s="33">
        <v>1</v>
      </c>
      <c r="Q41" s="33"/>
      <c r="R41" s="33" t="s">
        <v>43</v>
      </c>
      <c r="S41" s="33" t="s">
        <v>44</v>
      </c>
      <c r="T41" s="33">
        <v>25</v>
      </c>
      <c r="U41" s="33" t="s">
        <v>49</v>
      </c>
      <c r="V41" s="33" t="s">
        <v>717</v>
      </c>
      <c r="W41" s="33" t="s">
        <v>718</v>
      </c>
      <c r="X41" s="33"/>
      <c r="Y41" s="33"/>
      <c r="Z41" s="33"/>
      <c r="AA41" s="33">
        <v>1.4694014103226701E+24</v>
      </c>
      <c r="AB41" s="33" t="s">
        <v>46</v>
      </c>
    </row>
    <row r="42" spans="1:28" x14ac:dyDescent="0.25">
      <c r="A42" s="33">
        <v>14668961273</v>
      </c>
      <c r="B42" s="34">
        <v>46125.611666666664</v>
      </c>
      <c r="C42" s="33" t="s">
        <v>439</v>
      </c>
      <c r="D42" s="33" t="s">
        <v>440</v>
      </c>
      <c r="E42" s="33" t="s">
        <v>441</v>
      </c>
      <c r="F42" s="33"/>
      <c r="G42" s="33" t="s">
        <v>52</v>
      </c>
      <c r="H42" s="33" t="s">
        <v>53</v>
      </c>
      <c r="I42" s="33" t="s">
        <v>36</v>
      </c>
      <c r="J42" s="33" t="s">
        <v>37</v>
      </c>
      <c r="K42" s="33">
        <v>1985023781566</v>
      </c>
      <c r="L42" s="35">
        <v>46136</v>
      </c>
      <c r="M42" s="36">
        <v>0.4375</v>
      </c>
      <c r="N42" s="33" t="s">
        <v>41</v>
      </c>
      <c r="O42" s="33" t="s">
        <v>42</v>
      </c>
      <c r="P42" s="33">
        <v>1</v>
      </c>
      <c r="Q42" s="33"/>
      <c r="R42" s="33" t="s">
        <v>43</v>
      </c>
      <c r="S42" s="33" t="s">
        <v>44</v>
      </c>
      <c r="T42" s="33">
        <v>25</v>
      </c>
      <c r="U42" s="33" t="s">
        <v>442</v>
      </c>
      <c r="V42" s="33" t="s">
        <v>443</v>
      </c>
      <c r="W42" s="33" t="s">
        <v>238</v>
      </c>
      <c r="X42" s="33"/>
      <c r="Y42" s="33"/>
      <c r="Z42" s="33"/>
      <c r="AA42" s="33">
        <v>1.4668961273226699E+24</v>
      </c>
      <c r="AB42" s="33" t="s">
        <v>46</v>
      </c>
    </row>
    <row r="43" spans="1:28" x14ac:dyDescent="0.25">
      <c r="A43" s="33">
        <v>14678745073</v>
      </c>
      <c r="B43" s="34">
        <v>46126.759930555556</v>
      </c>
      <c r="C43" s="33" t="s">
        <v>497</v>
      </c>
      <c r="D43" s="33" t="s">
        <v>498</v>
      </c>
      <c r="E43" s="33" t="s">
        <v>499</v>
      </c>
      <c r="F43" s="33"/>
      <c r="G43" s="33" t="s">
        <v>52</v>
      </c>
      <c r="H43" s="33" t="s">
        <v>53</v>
      </c>
      <c r="I43" s="33" t="s">
        <v>36</v>
      </c>
      <c r="J43" s="33" t="s">
        <v>37</v>
      </c>
      <c r="K43" s="33">
        <v>1985023781566</v>
      </c>
      <c r="L43" s="35">
        <v>46136</v>
      </c>
      <c r="M43" s="36">
        <v>0.4375</v>
      </c>
      <c r="N43" s="33" t="s">
        <v>41</v>
      </c>
      <c r="O43" s="33" t="s">
        <v>42</v>
      </c>
      <c r="P43" s="33">
        <v>1</v>
      </c>
      <c r="Q43" s="33"/>
      <c r="R43" s="33" t="s">
        <v>176</v>
      </c>
      <c r="S43" s="33" t="s">
        <v>44</v>
      </c>
      <c r="T43" s="33">
        <v>0</v>
      </c>
      <c r="U43" s="33" t="s">
        <v>497</v>
      </c>
      <c r="V43" s="33" t="s">
        <v>498</v>
      </c>
      <c r="W43" s="33" t="s">
        <v>499</v>
      </c>
      <c r="X43" s="33"/>
      <c r="Y43" s="33"/>
      <c r="Z43" s="33"/>
      <c r="AA43" s="33">
        <v>1.4678745073226699E+24</v>
      </c>
      <c r="AB43" s="33" t="s">
        <v>46</v>
      </c>
    </row>
    <row r="44" spans="1:28" x14ac:dyDescent="0.25">
      <c r="A44" s="33">
        <v>14649420423</v>
      </c>
      <c r="B44" s="34">
        <v>46122.630439814813</v>
      </c>
      <c r="C44" s="33" t="s">
        <v>389</v>
      </c>
      <c r="D44" s="33" t="s">
        <v>390</v>
      </c>
      <c r="E44" s="33" t="s">
        <v>391</v>
      </c>
      <c r="F44" s="33"/>
      <c r="G44" s="33" t="s">
        <v>52</v>
      </c>
      <c r="H44" s="33" t="s">
        <v>53</v>
      </c>
      <c r="I44" s="33" t="s">
        <v>36</v>
      </c>
      <c r="J44" s="33" t="s">
        <v>37</v>
      </c>
      <c r="K44" s="33">
        <v>1985023781566</v>
      </c>
      <c r="L44" s="35">
        <v>46136</v>
      </c>
      <c r="M44" s="36">
        <v>0.4375</v>
      </c>
      <c r="N44" s="33" t="s">
        <v>41</v>
      </c>
      <c r="O44" s="33" t="s">
        <v>42</v>
      </c>
      <c r="P44" s="33">
        <v>1</v>
      </c>
      <c r="Q44" s="33"/>
      <c r="R44" s="33" t="s">
        <v>43</v>
      </c>
      <c r="S44" s="33" t="s">
        <v>44</v>
      </c>
      <c r="T44" s="33">
        <v>25</v>
      </c>
      <c r="U44" s="33" t="s">
        <v>389</v>
      </c>
      <c r="V44" s="33" t="s">
        <v>390</v>
      </c>
      <c r="W44" s="33" t="s">
        <v>391</v>
      </c>
      <c r="X44" s="33"/>
      <c r="Y44" s="33"/>
      <c r="Z44" s="33"/>
      <c r="AA44" s="33">
        <v>1.4649420423226699E+24</v>
      </c>
      <c r="AB44" s="33" t="s">
        <v>46</v>
      </c>
    </row>
    <row r="45" spans="1:28" x14ac:dyDescent="0.25">
      <c r="A45" s="46">
        <v>14691356303</v>
      </c>
      <c r="B45" s="51">
        <v>46128.369560185187</v>
      </c>
      <c r="C45" s="46" t="s">
        <v>707</v>
      </c>
      <c r="D45" s="46" t="s">
        <v>708</v>
      </c>
      <c r="E45" s="46" t="s">
        <v>709</v>
      </c>
      <c r="F45" s="46"/>
      <c r="G45" s="46" t="s">
        <v>710</v>
      </c>
      <c r="H45" s="46">
        <v>11</v>
      </c>
      <c r="I45" s="46" t="s">
        <v>711</v>
      </c>
      <c r="J45" s="46" t="s">
        <v>37</v>
      </c>
      <c r="K45" s="46">
        <v>1985023781566</v>
      </c>
      <c r="L45" s="52">
        <v>46136</v>
      </c>
      <c r="M45" s="53">
        <v>0.4375</v>
      </c>
      <c r="N45" s="46" t="s">
        <v>41</v>
      </c>
      <c r="O45" s="46" t="s">
        <v>42</v>
      </c>
      <c r="P45" s="46">
        <v>1</v>
      </c>
      <c r="Q45" s="46"/>
      <c r="R45" s="46" t="s">
        <v>54</v>
      </c>
      <c r="S45" s="46" t="s">
        <v>44</v>
      </c>
      <c r="T45" s="46">
        <v>0</v>
      </c>
      <c r="U45" s="46" t="s">
        <v>707</v>
      </c>
      <c r="V45" s="46" t="s">
        <v>708</v>
      </c>
      <c r="W45" s="46" t="s">
        <v>709</v>
      </c>
      <c r="X45" s="46"/>
      <c r="Y45" s="46"/>
      <c r="Z45" s="46"/>
      <c r="AA45" s="46">
        <v>1.4691356303226701E+24</v>
      </c>
      <c r="AB45" s="46" t="s">
        <v>46</v>
      </c>
    </row>
    <row r="46" spans="1:28" x14ac:dyDescent="0.25">
      <c r="A46" s="46">
        <v>14691356303</v>
      </c>
      <c r="B46" s="51">
        <v>46128.369560185187</v>
      </c>
      <c r="C46" s="46" t="s">
        <v>155</v>
      </c>
      <c r="D46" s="46" t="s">
        <v>155</v>
      </c>
      <c r="E46" s="46" t="s">
        <v>709</v>
      </c>
      <c r="F46" s="46"/>
      <c r="G46" s="46" t="s">
        <v>710</v>
      </c>
      <c r="H46" s="46">
        <v>11</v>
      </c>
      <c r="I46" s="46" t="s">
        <v>711</v>
      </c>
      <c r="J46" s="46" t="s">
        <v>37</v>
      </c>
      <c r="K46" s="46">
        <v>1985023781566</v>
      </c>
      <c r="L46" s="52">
        <v>46136</v>
      </c>
      <c r="M46" s="53">
        <v>0.4375</v>
      </c>
      <c r="N46" s="46" t="s">
        <v>41</v>
      </c>
      <c r="O46" s="46" t="s">
        <v>42</v>
      </c>
      <c r="P46" s="46">
        <v>1</v>
      </c>
      <c r="Q46" s="46"/>
      <c r="R46" s="46" t="s">
        <v>176</v>
      </c>
      <c r="S46" s="46" t="s">
        <v>44</v>
      </c>
      <c r="T46" s="46">
        <v>0</v>
      </c>
      <c r="U46" s="46" t="s">
        <v>707</v>
      </c>
      <c r="V46" s="46" t="s">
        <v>708</v>
      </c>
      <c r="W46" s="46" t="s">
        <v>709</v>
      </c>
      <c r="X46" s="46"/>
      <c r="Y46" s="46"/>
      <c r="Z46" s="46"/>
      <c r="AA46" s="46">
        <v>1.4691356303226701E+24</v>
      </c>
      <c r="AB46" s="46" t="s">
        <v>46</v>
      </c>
    </row>
    <row r="47" spans="1:28" x14ac:dyDescent="0.25">
      <c r="A47" s="33">
        <v>14499717083</v>
      </c>
      <c r="B47" s="34">
        <v>46101.038865740738</v>
      </c>
      <c r="C47" s="33" t="s">
        <v>58</v>
      </c>
      <c r="D47" s="33" t="s">
        <v>59</v>
      </c>
      <c r="E47" s="33" t="s">
        <v>60</v>
      </c>
      <c r="F47" s="33"/>
      <c r="G47" s="33" t="s">
        <v>61</v>
      </c>
      <c r="H47" s="33" t="s">
        <v>62</v>
      </c>
      <c r="I47" s="33" t="s">
        <v>36</v>
      </c>
      <c r="J47" s="33" t="s">
        <v>37</v>
      </c>
      <c r="K47" s="33">
        <v>1985023781566</v>
      </c>
      <c r="L47" s="35">
        <v>46136</v>
      </c>
      <c r="M47" s="36">
        <v>0.4375</v>
      </c>
      <c r="N47" s="33" t="s">
        <v>41</v>
      </c>
      <c r="O47" s="33" t="s">
        <v>42</v>
      </c>
      <c r="P47" s="33">
        <v>1</v>
      </c>
      <c r="Q47" s="33"/>
      <c r="R47" s="33" t="s">
        <v>54</v>
      </c>
      <c r="S47" s="33" t="s">
        <v>44</v>
      </c>
      <c r="T47" s="33">
        <v>0</v>
      </c>
      <c r="U47" s="33" t="s">
        <v>58</v>
      </c>
      <c r="V47" s="33" t="s">
        <v>59</v>
      </c>
      <c r="W47" s="33" t="s">
        <v>60</v>
      </c>
      <c r="X47" s="33"/>
      <c r="Y47" s="33"/>
      <c r="Z47" s="33"/>
      <c r="AA47" s="33">
        <v>1.44997170832264E+24</v>
      </c>
      <c r="AB47" s="33" t="s">
        <v>46</v>
      </c>
    </row>
    <row r="48" spans="1:28" x14ac:dyDescent="0.25">
      <c r="A48" s="33">
        <v>14595817213</v>
      </c>
      <c r="B48" s="34">
        <v>46114.821111111109</v>
      </c>
      <c r="C48" s="33" t="s">
        <v>703</v>
      </c>
      <c r="D48" s="33" t="s">
        <v>704</v>
      </c>
      <c r="E48" s="33" t="s">
        <v>165</v>
      </c>
      <c r="F48" s="33"/>
      <c r="G48" s="33" t="s">
        <v>164</v>
      </c>
      <c r="H48" s="33" t="s">
        <v>53</v>
      </c>
      <c r="I48" s="33" t="s">
        <v>36</v>
      </c>
      <c r="J48" s="33" t="s">
        <v>37</v>
      </c>
      <c r="K48" s="33">
        <v>1985023781566</v>
      </c>
      <c r="L48" s="35">
        <v>46136</v>
      </c>
      <c r="M48" s="36">
        <v>0.4375</v>
      </c>
      <c r="N48" s="33" t="s">
        <v>41</v>
      </c>
      <c r="O48" s="33" t="s">
        <v>42</v>
      </c>
      <c r="P48" s="33">
        <v>1</v>
      </c>
      <c r="Q48" s="33"/>
      <c r="R48" s="33" t="s">
        <v>43</v>
      </c>
      <c r="S48" s="33" t="s">
        <v>44</v>
      </c>
      <c r="T48" s="33">
        <v>0</v>
      </c>
      <c r="U48" s="33" t="s">
        <v>703</v>
      </c>
      <c r="V48" s="33" t="s">
        <v>704</v>
      </c>
      <c r="W48" s="33" t="s">
        <v>165</v>
      </c>
      <c r="X48" s="33"/>
      <c r="Y48" s="33"/>
      <c r="Z48" s="33"/>
      <c r="AA48" s="33">
        <v>1.4595817213226599E+24</v>
      </c>
      <c r="AB48" s="33" t="s">
        <v>46</v>
      </c>
    </row>
    <row r="49" spans="1:28" x14ac:dyDescent="0.25">
      <c r="A49" s="33">
        <v>14625782873</v>
      </c>
      <c r="B49" s="34">
        <v>46119.6953125</v>
      </c>
      <c r="C49" s="33" t="s">
        <v>705</v>
      </c>
      <c r="D49" s="33" t="s">
        <v>704</v>
      </c>
      <c r="E49" s="33" t="s">
        <v>238</v>
      </c>
      <c r="F49" s="33"/>
      <c r="G49" s="33" t="s">
        <v>239</v>
      </c>
      <c r="H49" s="33" t="s">
        <v>53</v>
      </c>
      <c r="I49" s="33" t="s">
        <v>36</v>
      </c>
      <c r="J49" s="33" t="s">
        <v>37</v>
      </c>
      <c r="K49" s="33">
        <v>1985023781566</v>
      </c>
      <c r="L49" s="35">
        <v>46136</v>
      </c>
      <c r="M49" s="36">
        <v>0.4375</v>
      </c>
      <c r="N49" s="33" t="s">
        <v>41</v>
      </c>
      <c r="O49" s="33" t="s">
        <v>42</v>
      </c>
      <c r="P49" s="33">
        <v>1</v>
      </c>
      <c r="Q49" s="33"/>
      <c r="R49" s="33" t="s">
        <v>43</v>
      </c>
      <c r="S49" s="33" t="s">
        <v>44</v>
      </c>
      <c r="T49" s="33">
        <v>0</v>
      </c>
      <c r="U49" s="33" t="s">
        <v>705</v>
      </c>
      <c r="V49" s="33" t="s">
        <v>704</v>
      </c>
      <c r="W49" s="33" t="s">
        <v>238</v>
      </c>
      <c r="X49" s="33"/>
      <c r="Y49" s="33"/>
      <c r="Z49" s="33"/>
      <c r="AA49" s="33">
        <v>1.46257828732266E+24</v>
      </c>
      <c r="AB49" s="33" t="s">
        <v>46</v>
      </c>
    </row>
    <row r="50" spans="1:28" x14ac:dyDescent="0.25">
      <c r="A50" s="33">
        <v>14600486663</v>
      </c>
      <c r="B50" s="34">
        <v>46115.555694444447</v>
      </c>
      <c r="C50" s="33" t="s">
        <v>180</v>
      </c>
      <c r="D50" s="33" t="s">
        <v>181</v>
      </c>
      <c r="E50" s="33" t="s">
        <v>182</v>
      </c>
      <c r="F50" s="33"/>
      <c r="G50" s="33" t="s">
        <v>183</v>
      </c>
      <c r="H50" s="33" t="s">
        <v>53</v>
      </c>
      <c r="I50" s="33" t="s">
        <v>36</v>
      </c>
      <c r="J50" s="33" t="s">
        <v>37</v>
      </c>
      <c r="K50" s="33">
        <v>1985023781566</v>
      </c>
      <c r="L50" s="35">
        <v>46136</v>
      </c>
      <c r="M50" s="36">
        <v>0.4375</v>
      </c>
      <c r="N50" s="33" t="s">
        <v>41</v>
      </c>
      <c r="O50" s="33" t="s">
        <v>42</v>
      </c>
      <c r="P50" s="33">
        <v>1</v>
      </c>
      <c r="Q50" s="33"/>
      <c r="R50" s="33" t="s">
        <v>184</v>
      </c>
      <c r="S50" s="33" t="s">
        <v>44</v>
      </c>
      <c r="T50" s="33">
        <v>1000</v>
      </c>
      <c r="U50" s="33" t="s">
        <v>185</v>
      </c>
      <c r="V50" s="33" t="s">
        <v>186</v>
      </c>
      <c r="W50" s="33" t="s">
        <v>182</v>
      </c>
      <c r="X50" s="33"/>
      <c r="Y50" s="33"/>
      <c r="Z50" s="33"/>
      <c r="AA50" s="33">
        <v>1.4600486663226601E+24</v>
      </c>
      <c r="AB50" s="33" t="s">
        <v>46</v>
      </c>
    </row>
    <row r="51" spans="1:28" x14ac:dyDescent="0.25">
      <c r="A51" s="33">
        <v>14637895013</v>
      </c>
      <c r="B51" s="34">
        <v>46121.333229166667</v>
      </c>
      <c r="C51" s="33" t="s">
        <v>291</v>
      </c>
      <c r="D51" s="33" t="s">
        <v>292</v>
      </c>
      <c r="E51" s="33" t="s">
        <v>293</v>
      </c>
      <c r="F51" s="33"/>
      <c r="G51" s="33" t="s">
        <v>294</v>
      </c>
      <c r="H51" s="33" t="s">
        <v>53</v>
      </c>
      <c r="I51" s="33" t="s">
        <v>36</v>
      </c>
      <c r="J51" s="33" t="s">
        <v>37</v>
      </c>
      <c r="K51" s="33">
        <v>1985023781566</v>
      </c>
      <c r="L51" s="35">
        <v>46136</v>
      </c>
      <c r="M51" s="36">
        <v>0.4375</v>
      </c>
      <c r="N51" s="33" t="s">
        <v>41</v>
      </c>
      <c r="O51" s="33" t="s">
        <v>42</v>
      </c>
      <c r="P51" s="33">
        <v>1</v>
      </c>
      <c r="Q51" s="33"/>
      <c r="R51" s="33" t="s">
        <v>43</v>
      </c>
      <c r="S51" s="33" t="s">
        <v>44</v>
      </c>
      <c r="T51" s="33">
        <v>0</v>
      </c>
      <c r="U51" s="33" t="s">
        <v>291</v>
      </c>
      <c r="V51" s="33" t="s">
        <v>292</v>
      </c>
      <c r="W51" s="33" t="s">
        <v>293</v>
      </c>
      <c r="X51" s="33"/>
      <c r="Y51" s="33"/>
      <c r="Z51" s="33"/>
      <c r="AA51" s="33">
        <v>1.4637895013226599E+24</v>
      </c>
      <c r="AB51" s="33" t="s">
        <v>46</v>
      </c>
    </row>
    <row r="52" spans="1:28" x14ac:dyDescent="0.25">
      <c r="A52" s="33">
        <v>14669003023</v>
      </c>
      <c r="B52" s="34">
        <v>46125.615324074075</v>
      </c>
      <c r="C52" s="33" t="s">
        <v>451</v>
      </c>
      <c r="D52" s="33" t="s">
        <v>452</v>
      </c>
      <c r="E52" s="33" t="s">
        <v>453</v>
      </c>
      <c r="F52" s="33"/>
      <c r="G52" s="33" t="s">
        <v>52</v>
      </c>
      <c r="H52" s="33" t="s">
        <v>53</v>
      </c>
      <c r="I52" s="33" t="s">
        <v>36</v>
      </c>
      <c r="J52" s="33" t="s">
        <v>37</v>
      </c>
      <c r="K52" s="33">
        <v>1985023781566</v>
      </c>
      <c r="L52" s="35">
        <v>46136</v>
      </c>
      <c r="M52" s="36">
        <v>0.4375</v>
      </c>
      <c r="N52" s="33" t="s">
        <v>41</v>
      </c>
      <c r="O52" s="33" t="s">
        <v>42</v>
      </c>
      <c r="P52" s="33">
        <v>1</v>
      </c>
      <c r="Q52" s="33"/>
      <c r="R52" s="33" t="s">
        <v>43</v>
      </c>
      <c r="S52" s="33" t="s">
        <v>44</v>
      </c>
      <c r="T52" s="33">
        <v>25</v>
      </c>
      <c r="U52" s="33" t="s">
        <v>451</v>
      </c>
      <c r="V52" s="33" t="s">
        <v>452</v>
      </c>
      <c r="W52" s="33" t="s">
        <v>453</v>
      </c>
      <c r="X52" s="33"/>
      <c r="Y52" s="33"/>
      <c r="Z52" s="33"/>
      <c r="AA52" s="33">
        <v>1.4669003023226699E+24</v>
      </c>
      <c r="AB52" s="33" t="s">
        <v>46</v>
      </c>
    </row>
    <row r="53" spans="1:28" x14ac:dyDescent="0.25">
      <c r="A53" s="33">
        <v>14577741553</v>
      </c>
      <c r="B53" s="34">
        <v>46112.541875000003</v>
      </c>
      <c r="C53" s="33" t="s">
        <v>120</v>
      </c>
      <c r="D53" s="33" t="s">
        <v>121</v>
      </c>
      <c r="E53" s="33" t="s">
        <v>122</v>
      </c>
      <c r="F53" s="33"/>
      <c r="G53" s="33" t="s">
        <v>123</v>
      </c>
      <c r="H53" s="33" t="s">
        <v>116</v>
      </c>
      <c r="I53" s="33" t="s">
        <v>36</v>
      </c>
      <c r="J53" s="33" t="s">
        <v>37</v>
      </c>
      <c r="K53" s="33">
        <v>1985023781566</v>
      </c>
      <c r="L53" s="35">
        <v>46136</v>
      </c>
      <c r="M53" s="36">
        <v>0.4375</v>
      </c>
      <c r="N53" s="33" t="s">
        <v>41</v>
      </c>
      <c r="O53" s="33" t="s">
        <v>42</v>
      </c>
      <c r="P53" s="33">
        <v>1</v>
      </c>
      <c r="Q53" s="33"/>
      <c r="R53" s="33" t="s">
        <v>43</v>
      </c>
      <c r="S53" s="33" t="s">
        <v>44</v>
      </c>
      <c r="T53" s="33">
        <v>0</v>
      </c>
      <c r="U53" s="33" t="s">
        <v>120</v>
      </c>
      <c r="V53" s="33" t="s">
        <v>121</v>
      </c>
      <c r="W53" s="33" t="s">
        <v>122</v>
      </c>
      <c r="X53" s="33"/>
      <c r="Y53" s="33"/>
      <c r="Z53" s="33"/>
      <c r="AA53" s="33">
        <v>1.4577741553226499E+24</v>
      </c>
      <c r="AB53" s="33" t="s">
        <v>46</v>
      </c>
    </row>
    <row r="54" spans="1:28" x14ac:dyDescent="0.25">
      <c r="A54" s="33">
        <v>14685606223</v>
      </c>
      <c r="B54" s="34">
        <v>46127.600902777776</v>
      </c>
      <c r="C54" s="33" t="s">
        <v>540</v>
      </c>
      <c r="D54" s="33" t="s">
        <v>541</v>
      </c>
      <c r="E54" s="33" t="s">
        <v>542</v>
      </c>
      <c r="F54" s="33"/>
      <c r="G54" s="33" t="s">
        <v>52</v>
      </c>
      <c r="H54" s="33" t="s">
        <v>53</v>
      </c>
      <c r="I54" s="33" t="s">
        <v>36</v>
      </c>
      <c r="J54" s="33" t="s">
        <v>37</v>
      </c>
      <c r="K54" s="33">
        <v>1985023781566</v>
      </c>
      <c r="L54" s="35">
        <v>46136</v>
      </c>
      <c r="M54" s="36">
        <v>0.4375</v>
      </c>
      <c r="N54" s="33" t="s">
        <v>41</v>
      </c>
      <c r="O54" s="33" t="s">
        <v>42</v>
      </c>
      <c r="P54" s="33">
        <v>1</v>
      </c>
      <c r="Q54" s="33"/>
      <c r="R54" s="33" t="s">
        <v>54</v>
      </c>
      <c r="S54" s="33" t="s">
        <v>44</v>
      </c>
      <c r="T54" s="33">
        <v>0</v>
      </c>
      <c r="U54" s="33" t="s">
        <v>540</v>
      </c>
      <c r="V54" s="33" t="s">
        <v>541</v>
      </c>
      <c r="W54" s="33" t="s">
        <v>542</v>
      </c>
      <c r="X54" s="33"/>
      <c r="Y54" s="33"/>
      <c r="Z54" s="33"/>
      <c r="AA54" s="33">
        <v>1.4685606223226701E+24</v>
      </c>
      <c r="AB54" s="33" t="s">
        <v>46</v>
      </c>
    </row>
    <row r="55" spans="1:28" x14ac:dyDescent="0.25">
      <c r="A55" s="33">
        <v>14533148673</v>
      </c>
      <c r="B55" s="34">
        <v>46106.002395833333</v>
      </c>
      <c r="C55" s="33" t="s">
        <v>94</v>
      </c>
      <c r="D55" s="33" t="s">
        <v>702</v>
      </c>
      <c r="E55" s="33" t="s">
        <v>95</v>
      </c>
      <c r="F55" s="33"/>
      <c r="G55" s="33" t="s">
        <v>52</v>
      </c>
      <c r="H55" s="33" t="s">
        <v>53</v>
      </c>
      <c r="I55" s="33" t="s">
        <v>36</v>
      </c>
      <c r="J55" s="33" t="s">
        <v>37</v>
      </c>
      <c r="K55" s="33">
        <v>1985023781566</v>
      </c>
      <c r="L55" s="35">
        <v>46136</v>
      </c>
      <c r="M55" s="36">
        <v>0.4375</v>
      </c>
      <c r="N55" s="33" t="s">
        <v>41</v>
      </c>
      <c r="O55" s="33" t="s">
        <v>42</v>
      </c>
      <c r="P55" s="33">
        <v>1</v>
      </c>
      <c r="Q55" s="33"/>
      <c r="R55" s="33" t="s">
        <v>54</v>
      </c>
      <c r="S55" s="33" t="s">
        <v>44</v>
      </c>
      <c r="T55" s="33">
        <v>0</v>
      </c>
      <c r="U55" s="33" t="s">
        <v>94</v>
      </c>
      <c r="V55" s="33" t="s">
        <v>96</v>
      </c>
      <c r="W55" s="33" t="s">
        <v>95</v>
      </c>
      <c r="X55" s="33"/>
      <c r="Y55" s="33"/>
      <c r="Z55" s="33"/>
      <c r="AA55" s="33">
        <v>1.45331486732265E+24</v>
      </c>
      <c r="AB55" s="33" t="s">
        <v>46</v>
      </c>
    </row>
    <row r="56" spans="1:28" x14ac:dyDescent="0.25">
      <c r="A56" s="33">
        <v>14674990143</v>
      </c>
      <c r="B56" s="34">
        <v>46126.415046296293</v>
      </c>
      <c r="C56" s="33" t="s">
        <v>232</v>
      </c>
      <c r="D56" s="33" t="s">
        <v>475</v>
      </c>
      <c r="E56" s="33" t="s">
        <v>476</v>
      </c>
      <c r="F56" s="33"/>
      <c r="G56" s="33" t="s">
        <v>52</v>
      </c>
      <c r="H56" s="33" t="s">
        <v>53</v>
      </c>
      <c r="I56" s="33" t="s">
        <v>36</v>
      </c>
      <c r="J56" s="33" t="s">
        <v>37</v>
      </c>
      <c r="K56" s="33">
        <v>1985023781566</v>
      </c>
      <c r="L56" s="35">
        <v>46136</v>
      </c>
      <c r="M56" s="36">
        <v>0.4375</v>
      </c>
      <c r="N56" s="33" t="s">
        <v>41</v>
      </c>
      <c r="O56" s="33" t="s">
        <v>42</v>
      </c>
      <c r="P56" s="33">
        <v>1</v>
      </c>
      <c r="Q56" s="33"/>
      <c r="R56" s="33" t="s">
        <v>43</v>
      </c>
      <c r="S56" s="33" t="s">
        <v>44</v>
      </c>
      <c r="T56" s="33">
        <v>25</v>
      </c>
      <c r="U56" s="33" t="s">
        <v>232</v>
      </c>
      <c r="V56" s="33" t="s">
        <v>475</v>
      </c>
      <c r="W56" s="33" t="s">
        <v>476</v>
      </c>
      <c r="X56" s="33"/>
      <c r="Y56" s="33"/>
      <c r="Z56" s="33"/>
      <c r="AA56" s="33">
        <v>1.46749901432267E+24</v>
      </c>
      <c r="AB56" s="33" t="s">
        <v>46</v>
      </c>
    </row>
    <row r="57" spans="1:28" x14ac:dyDescent="0.25">
      <c r="A57" s="33">
        <v>14652492063</v>
      </c>
      <c r="B57" s="34">
        <v>46123.027199074073</v>
      </c>
      <c r="C57" s="33" t="s">
        <v>402</v>
      </c>
      <c r="D57" s="33" t="s">
        <v>403</v>
      </c>
      <c r="E57" s="33" t="s">
        <v>404</v>
      </c>
      <c r="F57" s="33"/>
      <c r="G57" s="33" t="s">
        <v>52</v>
      </c>
      <c r="H57" s="33" t="s">
        <v>53</v>
      </c>
      <c r="I57" s="33" t="s">
        <v>36</v>
      </c>
      <c r="J57" s="33" t="s">
        <v>37</v>
      </c>
      <c r="K57" s="33">
        <v>1985023781566</v>
      </c>
      <c r="L57" s="35">
        <v>46136</v>
      </c>
      <c r="M57" s="36">
        <v>0.4375</v>
      </c>
      <c r="N57" s="33" t="s">
        <v>41</v>
      </c>
      <c r="O57" s="33" t="s">
        <v>42</v>
      </c>
      <c r="P57" s="33">
        <v>1</v>
      </c>
      <c r="Q57" s="33"/>
      <c r="R57" s="33" t="s">
        <v>54</v>
      </c>
      <c r="S57" s="33" t="s">
        <v>44</v>
      </c>
      <c r="T57" s="33">
        <v>0</v>
      </c>
      <c r="U57" s="33" t="s">
        <v>402</v>
      </c>
      <c r="V57" s="33" t="s">
        <v>403</v>
      </c>
      <c r="W57" s="33" t="s">
        <v>404</v>
      </c>
      <c r="X57" s="33"/>
      <c r="Y57" s="33"/>
      <c r="Z57" s="33"/>
      <c r="AA57" s="33">
        <v>1.46524920632267E+24</v>
      </c>
      <c r="AB57" s="33" t="s">
        <v>46</v>
      </c>
    </row>
    <row r="58" spans="1:28" x14ac:dyDescent="0.25">
      <c r="A58" s="33">
        <v>14674224243</v>
      </c>
      <c r="B58" s="34">
        <v>46126.339791666665</v>
      </c>
      <c r="C58" s="33" t="s">
        <v>469</v>
      </c>
      <c r="D58" s="33" t="s">
        <v>470</v>
      </c>
      <c r="E58" s="33" t="s">
        <v>471</v>
      </c>
      <c r="F58" s="33"/>
      <c r="G58" s="33" t="s">
        <v>52</v>
      </c>
      <c r="H58" s="33" t="s">
        <v>53</v>
      </c>
      <c r="I58" s="33" t="s">
        <v>36</v>
      </c>
      <c r="J58" s="33" t="s">
        <v>37</v>
      </c>
      <c r="K58" s="33">
        <v>1985023781566</v>
      </c>
      <c r="L58" s="35">
        <v>46136</v>
      </c>
      <c r="M58" s="36">
        <v>0.4375</v>
      </c>
      <c r="N58" s="33" t="s">
        <v>41</v>
      </c>
      <c r="O58" s="33" t="s">
        <v>42</v>
      </c>
      <c r="P58" s="33">
        <v>1</v>
      </c>
      <c r="Q58" s="33"/>
      <c r="R58" s="33" t="s">
        <v>54</v>
      </c>
      <c r="S58" s="33" t="s">
        <v>44</v>
      </c>
      <c r="T58" s="33">
        <v>0</v>
      </c>
      <c r="U58" s="33" t="s">
        <v>469</v>
      </c>
      <c r="V58" s="33" t="s">
        <v>470</v>
      </c>
      <c r="W58" s="33" t="s">
        <v>471</v>
      </c>
      <c r="X58" s="33"/>
      <c r="Y58" s="33"/>
      <c r="Z58" s="33"/>
      <c r="AA58" s="33">
        <v>1.46742242432267E+24</v>
      </c>
      <c r="AB58" s="33" t="s">
        <v>46</v>
      </c>
    </row>
    <row r="59" spans="1:28" x14ac:dyDescent="0.25">
      <c r="A59" s="33">
        <v>14683059483</v>
      </c>
      <c r="B59" s="34">
        <v>46127.37909722222</v>
      </c>
      <c r="C59" s="33" t="s">
        <v>522</v>
      </c>
      <c r="D59" s="33" t="s">
        <v>523</v>
      </c>
      <c r="E59" s="33" t="s">
        <v>524</v>
      </c>
      <c r="F59" s="33"/>
      <c r="G59" s="33" t="s">
        <v>52</v>
      </c>
      <c r="H59" s="33" t="s">
        <v>53</v>
      </c>
      <c r="I59" s="33" t="s">
        <v>36</v>
      </c>
      <c r="J59" s="33" t="s">
        <v>37</v>
      </c>
      <c r="K59" s="33">
        <v>1985023781566</v>
      </c>
      <c r="L59" s="35">
        <v>46136</v>
      </c>
      <c r="M59" s="36">
        <v>0.4375</v>
      </c>
      <c r="N59" s="33" t="s">
        <v>41</v>
      </c>
      <c r="O59" s="33" t="s">
        <v>42</v>
      </c>
      <c r="P59" s="33">
        <v>1</v>
      </c>
      <c r="Q59" s="33"/>
      <c r="R59" s="33" t="s">
        <v>54</v>
      </c>
      <c r="S59" s="33" t="s">
        <v>44</v>
      </c>
      <c r="T59" s="33">
        <v>0</v>
      </c>
      <c r="U59" s="33" t="s">
        <v>522</v>
      </c>
      <c r="V59" s="33" t="s">
        <v>523</v>
      </c>
      <c r="W59" s="33" t="s">
        <v>524</v>
      </c>
      <c r="X59" s="33"/>
      <c r="Y59" s="33"/>
      <c r="Z59" s="33"/>
      <c r="AA59" s="33">
        <v>1.46830594832267E+24</v>
      </c>
      <c r="AB59" s="33" t="s">
        <v>46</v>
      </c>
    </row>
    <row r="60" spans="1:28" x14ac:dyDescent="0.25">
      <c r="A60" s="33">
        <v>14667399633</v>
      </c>
      <c r="B60" s="34">
        <v>46125.476261574076</v>
      </c>
      <c r="C60" s="33" t="s">
        <v>418</v>
      </c>
      <c r="D60" s="33" t="s">
        <v>419</v>
      </c>
      <c r="E60" s="33" t="s">
        <v>420</v>
      </c>
      <c r="F60" s="33"/>
      <c r="G60" s="33" t="s">
        <v>421</v>
      </c>
      <c r="H60" s="33" t="s">
        <v>35</v>
      </c>
      <c r="I60" s="33" t="s">
        <v>36</v>
      </c>
      <c r="J60" s="33" t="s">
        <v>37</v>
      </c>
      <c r="K60" s="33">
        <v>1985023781566</v>
      </c>
      <c r="L60" s="35">
        <v>46136</v>
      </c>
      <c r="M60" s="36">
        <v>0.4375</v>
      </c>
      <c r="N60" s="33" t="s">
        <v>41</v>
      </c>
      <c r="O60" s="33" t="s">
        <v>42</v>
      </c>
      <c r="P60" s="33">
        <v>1</v>
      </c>
      <c r="Q60" s="33"/>
      <c r="R60" s="33" t="s">
        <v>142</v>
      </c>
      <c r="S60" s="33" t="s">
        <v>44</v>
      </c>
      <c r="T60" s="33">
        <v>250</v>
      </c>
      <c r="U60" s="33" t="s">
        <v>418</v>
      </c>
      <c r="V60" s="33" t="s">
        <v>419</v>
      </c>
      <c r="W60" s="33" t="s">
        <v>420</v>
      </c>
      <c r="X60" s="33"/>
      <c r="Y60" s="33"/>
      <c r="Z60" s="33"/>
      <c r="AA60" s="33">
        <v>1.4667399633226699E+24</v>
      </c>
      <c r="AB60" s="33" t="s">
        <v>46</v>
      </c>
    </row>
    <row r="61" spans="1:28" x14ac:dyDescent="0.25">
      <c r="A61" s="33">
        <v>14632140813</v>
      </c>
      <c r="B61" s="34">
        <v>46120.550995370373</v>
      </c>
      <c r="C61" s="33" t="s">
        <v>260</v>
      </c>
      <c r="D61" s="33" t="s">
        <v>261</v>
      </c>
      <c r="E61" s="33" t="s">
        <v>262</v>
      </c>
      <c r="F61" s="33"/>
      <c r="G61" s="33" t="s">
        <v>52</v>
      </c>
      <c r="H61" s="33" t="s">
        <v>53</v>
      </c>
      <c r="I61" s="33" t="s">
        <v>36</v>
      </c>
      <c r="J61" s="33" t="s">
        <v>37</v>
      </c>
      <c r="K61" s="33">
        <v>1985023781566</v>
      </c>
      <c r="L61" s="35">
        <v>46136</v>
      </c>
      <c r="M61" s="36">
        <v>0.4375</v>
      </c>
      <c r="N61" s="33" t="s">
        <v>41</v>
      </c>
      <c r="O61" s="33" t="s">
        <v>42</v>
      </c>
      <c r="P61" s="33">
        <v>1</v>
      </c>
      <c r="Q61" s="33"/>
      <c r="R61" s="33" t="s">
        <v>54</v>
      </c>
      <c r="S61" s="33" t="s">
        <v>44</v>
      </c>
      <c r="T61" s="33">
        <v>0</v>
      </c>
      <c r="U61" s="33" t="s">
        <v>260</v>
      </c>
      <c r="V61" s="33" t="s">
        <v>261</v>
      </c>
      <c r="W61" s="33" t="s">
        <v>262</v>
      </c>
      <c r="X61" s="33"/>
      <c r="Y61" s="33"/>
      <c r="Z61" s="33"/>
      <c r="AA61" s="33">
        <v>1.4632140813226599E+24</v>
      </c>
      <c r="AB61" s="33" t="s">
        <v>46</v>
      </c>
    </row>
    <row r="62" spans="1:28" x14ac:dyDescent="0.25">
      <c r="A62" s="46">
        <v>14595817213</v>
      </c>
      <c r="B62" s="51">
        <v>46114.821111111109</v>
      </c>
      <c r="C62" s="46" t="s">
        <v>739</v>
      </c>
      <c r="D62" s="46" t="s">
        <v>162</v>
      </c>
      <c r="E62" s="46" t="s">
        <v>163</v>
      </c>
      <c r="F62" s="46"/>
      <c r="G62" s="46" t="s">
        <v>164</v>
      </c>
      <c r="H62" s="46" t="s">
        <v>53</v>
      </c>
      <c r="I62" s="46" t="s">
        <v>36</v>
      </c>
      <c r="J62" s="46" t="s">
        <v>37</v>
      </c>
      <c r="K62" s="46">
        <v>1985023781566</v>
      </c>
      <c r="L62" s="52">
        <v>46136</v>
      </c>
      <c r="M62" s="53">
        <v>0.4375</v>
      </c>
      <c r="N62" s="46" t="s">
        <v>41</v>
      </c>
      <c r="O62" s="46" t="s">
        <v>42</v>
      </c>
      <c r="P62" s="46">
        <v>1</v>
      </c>
      <c r="Q62" s="46"/>
      <c r="R62" s="46" t="s">
        <v>43</v>
      </c>
      <c r="S62" s="46" t="s">
        <v>44</v>
      </c>
      <c r="T62" s="46">
        <v>0</v>
      </c>
      <c r="U62" s="46" t="s">
        <v>703</v>
      </c>
      <c r="V62" s="46" t="s">
        <v>704</v>
      </c>
      <c r="W62" s="46" t="s">
        <v>165</v>
      </c>
      <c r="X62" s="46"/>
      <c r="Y62" s="46"/>
      <c r="Z62" s="46"/>
      <c r="AA62" s="46">
        <v>1.4595817213226599E+24</v>
      </c>
      <c r="AB62" s="46" t="s">
        <v>46</v>
      </c>
    </row>
    <row r="63" spans="1:28" x14ac:dyDescent="0.25">
      <c r="A63" s="46">
        <v>14595817213</v>
      </c>
      <c r="B63" s="51">
        <v>46114.821111111109</v>
      </c>
      <c r="C63" s="46" t="s">
        <v>739</v>
      </c>
      <c r="D63" s="46" t="s">
        <v>162</v>
      </c>
      <c r="E63" s="46" t="s">
        <v>163</v>
      </c>
      <c r="F63" s="46"/>
      <c r="G63" s="46" t="s">
        <v>164</v>
      </c>
      <c r="H63" s="46" t="s">
        <v>53</v>
      </c>
      <c r="I63" s="46" t="s">
        <v>36</v>
      </c>
      <c r="J63" s="46" t="s">
        <v>37</v>
      </c>
      <c r="K63" s="46">
        <v>1985023781566</v>
      </c>
      <c r="L63" s="52">
        <v>46136</v>
      </c>
      <c r="M63" s="53">
        <v>0.4375</v>
      </c>
      <c r="N63" s="46" t="s">
        <v>41</v>
      </c>
      <c r="O63" s="46" t="s">
        <v>42</v>
      </c>
      <c r="P63" s="46">
        <v>1</v>
      </c>
      <c r="Q63" s="46"/>
      <c r="R63" s="46" t="s">
        <v>43</v>
      </c>
      <c r="S63" s="46" t="s">
        <v>44</v>
      </c>
      <c r="T63" s="46">
        <v>0</v>
      </c>
      <c r="U63" s="46" t="s">
        <v>703</v>
      </c>
      <c r="V63" s="46" t="s">
        <v>704</v>
      </c>
      <c r="W63" s="46" t="s">
        <v>165</v>
      </c>
      <c r="X63" s="46"/>
      <c r="Y63" s="46"/>
      <c r="Z63" s="46"/>
      <c r="AA63" s="46">
        <v>1.4595817213226599E+24</v>
      </c>
      <c r="AB63" s="46" t="s">
        <v>46</v>
      </c>
    </row>
    <row r="64" spans="1:28" x14ac:dyDescent="0.25">
      <c r="A64" s="46">
        <v>14595817213</v>
      </c>
      <c r="B64" s="51">
        <v>46114.821111111109</v>
      </c>
      <c r="C64" s="46" t="s">
        <v>739</v>
      </c>
      <c r="D64" s="46" t="s">
        <v>162</v>
      </c>
      <c r="E64" s="46" t="s">
        <v>163</v>
      </c>
      <c r="F64" s="46"/>
      <c r="G64" s="46" t="s">
        <v>164</v>
      </c>
      <c r="H64" s="46" t="s">
        <v>53</v>
      </c>
      <c r="I64" s="46" t="s">
        <v>36</v>
      </c>
      <c r="J64" s="46" t="s">
        <v>37</v>
      </c>
      <c r="K64" s="46">
        <v>1985023781566</v>
      </c>
      <c r="L64" s="52">
        <v>46136</v>
      </c>
      <c r="M64" s="53">
        <v>0.4375</v>
      </c>
      <c r="N64" s="46" t="s">
        <v>41</v>
      </c>
      <c r="O64" s="46" t="s">
        <v>42</v>
      </c>
      <c r="P64" s="46">
        <v>1</v>
      </c>
      <c r="Q64" s="46"/>
      <c r="R64" s="46" t="s">
        <v>43</v>
      </c>
      <c r="S64" s="46" t="s">
        <v>44</v>
      </c>
      <c r="T64" s="46">
        <v>0</v>
      </c>
      <c r="U64" s="46" t="s">
        <v>703</v>
      </c>
      <c r="V64" s="46" t="s">
        <v>704</v>
      </c>
      <c r="W64" s="46" t="s">
        <v>165</v>
      </c>
      <c r="X64" s="46"/>
      <c r="Y64" s="46"/>
      <c r="Z64" s="46"/>
      <c r="AA64" s="46">
        <v>1.4595817213226599E+24</v>
      </c>
      <c r="AB64" s="46" t="s">
        <v>46</v>
      </c>
    </row>
    <row r="65" spans="1:28" x14ac:dyDescent="0.25">
      <c r="A65" s="33">
        <v>14676275313</v>
      </c>
      <c r="B65" s="34">
        <v>46126.525381944448</v>
      </c>
      <c r="C65" s="33" t="s">
        <v>491</v>
      </c>
      <c r="D65" s="33" t="s">
        <v>492</v>
      </c>
      <c r="E65" s="33" t="s">
        <v>493</v>
      </c>
      <c r="F65" s="33"/>
      <c r="G65" s="33" t="s">
        <v>52</v>
      </c>
      <c r="H65" s="33" t="s">
        <v>53</v>
      </c>
      <c r="I65" s="33" t="s">
        <v>36</v>
      </c>
      <c r="J65" s="33" t="s">
        <v>37</v>
      </c>
      <c r="K65" s="33">
        <v>1985023781566</v>
      </c>
      <c r="L65" s="35">
        <v>46136</v>
      </c>
      <c r="M65" s="36">
        <v>0.4375</v>
      </c>
      <c r="N65" s="33" t="s">
        <v>41</v>
      </c>
      <c r="O65" s="33" t="s">
        <v>42</v>
      </c>
      <c r="P65" s="33">
        <v>1</v>
      </c>
      <c r="Q65" s="33"/>
      <c r="R65" s="33" t="s">
        <v>54</v>
      </c>
      <c r="S65" s="33" t="s">
        <v>44</v>
      </c>
      <c r="T65" s="33">
        <v>0</v>
      </c>
      <c r="U65" s="33" t="s">
        <v>491</v>
      </c>
      <c r="V65" s="33" t="s">
        <v>492</v>
      </c>
      <c r="W65" s="33" t="s">
        <v>493</v>
      </c>
      <c r="X65" s="33"/>
      <c r="Y65" s="33"/>
      <c r="Z65" s="33"/>
      <c r="AA65" s="33">
        <v>1.4676275313226699E+24</v>
      </c>
      <c r="AB65" s="33" t="s">
        <v>46</v>
      </c>
    </row>
    <row r="66" spans="1:28" x14ac:dyDescent="0.25">
      <c r="A66" s="33">
        <v>14578579883</v>
      </c>
      <c r="B66" s="34">
        <v>46112.624189814815</v>
      </c>
      <c r="C66" s="33" t="s">
        <v>127</v>
      </c>
      <c r="D66" s="33" t="s">
        <v>128</v>
      </c>
      <c r="E66" s="33" t="s">
        <v>129</v>
      </c>
      <c r="F66" s="33"/>
      <c r="G66" s="33" t="s">
        <v>130</v>
      </c>
      <c r="H66" s="33" t="s">
        <v>35</v>
      </c>
      <c r="I66" s="33" t="s">
        <v>36</v>
      </c>
      <c r="J66" s="33" t="s">
        <v>37</v>
      </c>
      <c r="K66" s="33">
        <v>1985023781566</v>
      </c>
      <c r="L66" s="35">
        <v>46136</v>
      </c>
      <c r="M66" s="36">
        <v>0.4375</v>
      </c>
      <c r="N66" s="33" t="s">
        <v>41</v>
      </c>
      <c r="O66" s="33" t="s">
        <v>42</v>
      </c>
      <c r="P66" s="33">
        <v>1</v>
      </c>
      <c r="Q66" s="33"/>
      <c r="R66" s="33" t="s">
        <v>43</v>
      </c>
      <c r="S66" s="33" t="s">
        <v>44</v>
      </c>
      <c r="T66" s="33">
        <v>25</v>
      </c>
      <c r="U66" s="33" t="s">
        <v>131</v>
      </c>
      <c r="V66" s="33" t="s">
        <v>132</v>
      </c>
      <c r="W66" s="33" t="s">
        <v>133</v>
      </c>
      <c r="X66" s="33"/>
      <c r="Y66" s="33"/>
      <c r="Z66" s="33"/>
      <c r="AA66" s="33">
        <v>1.4578579883226499E+24</v>
      </c>
      <c r="AB66" s="33" t="s">
        <v>46</v>
      </c>
    </row>
    <row r="67" spans="1:28" x14ac:dyDescent="0.25">
      <c r="A67" s="33">
        <v>14584507883</v>
      </c>
      <c r="B67" s="34">
        <v>46113.465648148151</v>
      </c>
      <c r="C67" s="33" t="s">
        <v>149</v>
      </c>
      <c r="D67" s="33" t="s">
        <v>150</v>
      </c>
      <c r="E67" s="33" t="s">
        <v>151</v>
      </c>
      <c r="F67" s="33"/>
      <c r="G67" s="33" t="s">
        <v>34</v>
      </c>
      <c r="H67" s="33" t="s">
        <v>35</v>
      </c>
      <c r="I67" s="33" t="s">
        <v>36</v>
      </c>
      <c r="J67" s="33" t="s">
        <v>37</v>
      </c>
      <c r="K67" s="33">
        <v>1985023781566</v>
      </c>
      <c r="L67" s="35">
        <v>46136</v>
      </c>
      <c r="M67" s="36">
        <v>0.4375</v>
      </c>
      <c r="N67" s="33" t="s">
        <v>41</v>
      </c>
      <c r="O67" s="33" t="s">
        <v>42</v>
      </c>
      <c r="P67" s="33">
        <v>1</v>
      </c>
      <c r="Q67" s="33"/>
      <c r="R67" s="33" t="s">
        <v>43</v>
      </c>
      <c r="S67" s="33" t="s">
        <v>44</v>
      </c>
      <c r="T67" s="33">
        <v>0</v>
      </c>
      <c r="U67" s="33" t="s">
        <v>149</v>
      </c>
      <c r="V67" s="33" t="s">
        <v>150</v>
      </c>
      <c r="W67" s="33" t="s">
        <v>151</v>
      </c>
      <c r="X67" s="33"/>
      <c r="Y67" s="33"/>
      <c r="Z67" s="33"/>
      <c r="AA67" s="33">
        <v>1.45845078832266E+24</v>
      </c>
      <c r="AB67" s="33" t="s">
        <v>46</v>
      </c>
    </row>
    <row r="68" spans="1:28" x14ac:dyDescent="0.25">
      <c r="A68" s="33">
        <v>14543856393</v>
      </c>
      <c r="B68" s="34">
        <v>46107.471435185187</v>
      </c>
      <c r="C68" s="33" t="s">
        <v>100</v>
      </c>
      <c r="D68" s="33" t="s">
        <v>101</v>
      </c>
      <c r="E68" s="33" t="s">
        <v>102</v>
      </c>
      <c r="F68" s="33"/>
      <c r="G68" s="33" t="s">
        <v>52</v>
      </c>
      <c r="H68" s="33" t="s">
        <v>53</v>
      </c>
      <c r="I68" s="33" t="s">
        <v>36</v>
      </c>
      <c r="J68" s="33" t="s">
        <v>37</v>
      </c>
      <c r="K68" s="33">
        <v>1985023781566</v>
      </c>
      <c r="L68" s="35">
        <v>46136</v>
      </c>
      <c r="M68" s="36">
        <v>0.4375</v>
      </c>
      <c r="N68" s="33" t="s">
        <v>41</v>
      </c>
      <c r="O68" s="33" t="s">
        <v>42</v>
      </c>
      <c r="P68" s="33">
        <v>1</v>
      </c>
      <c r="Q68" s="33"/>
      <c r="R68" s="33" t="s">
        <v>54</v>
      </c>
      <c r="S68" s="33" t="s">
        <v>44</v>
      </c>
      <c r="T68" s="33">
        <v>0</v>
      </c>
      <c r="U68" s="33" t="s">
        <v>100</v>
      </c>
      <c r="V68" s="33" t="s">
        <v>101</v>
      </c>
      <c r="W68" s="33" t="s">
        <v>102</v>
      </c>
      <c r="X68" s="33"/>
      <c r="Y68" s="33"/>
      <c r="Z68" s="33"/>
      <c r="AA68" s="33">
        <v>1.4543856393226501E+24</v>
      </c>
      <c r="AB68" s="33" t="s">
        <v>46</v>
      </c>
    </row>
    <row r="69" spans="1:28" x14ac:dyDescent="0.25">
      <c r="A69" s="33">
        <v>14632368733</v>
      </c>
      <c r="B69" s="34">
        <v>46120.570173611108</v>
      </c>
      <c r="C69" s="33" t="s">
        <v>266</v>
      </c>
      <c r="D69" s="33" t="s">
        <v>267</v>
      </c>
      <c r="E69" s="33" t="s">
        <v>268</v>
      </c>
      <c r="F69" s="33"/>
      <c r="G69" s="33" t="s">
        <v>239</v>
      </c>
      <c r="H69" s="33" t="s">
        <v>53</v>
      </c>
      <c r="I69" s="33" t="s">
        <v>36</v>
      </c>
      <c r="J69" s="33" t="s">
        <v>37</v>
      </c>
      <c r="K69" s="33">
        <v>1985023781566</v>
      </c>
      <c r="L69" s="35">
        <v>46136</v>
      </c>
      <c r="M69" s="36">
        <v>0.4375</v>
      </c>
      <c r="N69" s="33" t="s">
        <v>41</v>
      </c>
      <c r="O69" s="33" t="s">
        <v>42</v>
      </c>
      <c r="P69" s="33">
        <v>1</v>
      </c>
      <c r="Q69" s="33"/>
      <c r="R69" s="33" t="s">
        <v>43</v>
      </c>
      <c r="S69" s="33" t="s">
        <v>44</v>
      </c>
      <c r="T69" s="33">
        <v>25</v>
      </c>
      <c r="U69" s="33" t="s">
        <v>266</v>
      </c>
      <c r="V69" s="33" t="s">
        <v>267</v>
      </c>
      <c r="W69" s="33" t="s">
        <v>268</v>
      </c>
      <c r="X69" s="33"/>
      <c r="Y69" s="33"/>
      <c r="Z69" s="33"/>
      <c r="AA69" s="33">
        <v>1.46323687332266E+24</v>
      </c>
      <c r="AB69" s="33" t="s">
        <v>46</v>
      </c>
    </row>
    <row r="70" spans="1:28" x14ac:dyDescent="0.25">
      <c r="A70" s="33">
        <v>14616696833</v>
      </c>
      <c r="B70" s="34">
        <v>46118.508796296293</v>
      </c>
      <c r="C70" s="33" t="s">
        <v>190</v>
      </c>
      <c r="D70" s="33" t="s">
        <v>191</v>
      </c>
      <c r="E70" s="33" t="s">
        <v>192</v>
      </c>
      <c r="F70" s="33"/>
      <c r="G70" s="33" t="s">
        <v>175</v>
      </c>
      <c r="H70" s="33" t="s">
        <v>53</v>
      </c>
      <c r="I70" s="33" t="s">
        <v>36</v>
      </c>
      <c r="J70" s="33" t="s">
        <v>37</v>
      </c>
      <c r="K70" s="33">
        <v>1985023781566</v>
      </c>
      <c r="L70" s="35">
        <v>46136</v>
      </c>
      <c r="M70" s="36">
        <v>0.4375</v>
      </c>
      <c r="N70" s="33" t="s">
        <v>41</v>
      </c>
      <c r="O70" s="33" t="s">
        <v>42</v>
      </c>
      <c r="P70" s="33">
        <v>1</v>
      </c>
      <c r="Q70" s="33"/>
      <c r="R70" s="33" t="s">
        <v>43</v>
      </c>
      <c r="S70" s="33" t="s">
        <v>44</v>
      </c>
      <c r="T70" s="33">
        <v>25</v>
      </c>
      <c r="U70" s="33" t="s">
        <v>190</v>
      </c>
      <c r="V70" s="33" t="s">
        <v>191</v>
      </c>
      <c r="W70" s="33" t="s">
        <v>192</v>
      </c>
      <c r="X70" s="33"/>
      <c r="Y70" s="33"/>
      <c r="Z70" s="33"/>
      <c r="AA70" s="33">
        <v>1.4616696833226599E+24</v>
      </c>
      <c r="AB70" s="33" t="s">
        <v>46</v>
      </c>
    </row>
    <row r="71" spans="1:28" x14ac:dyDescent="0.25">
      <c r="A71" s="33">
        <v>14600462703</v>
      </c>
      <c r="B71" s="34">
        <v>46115.553368055553</v>
      </c>
      <c r="C71" s="33" t="s">
        <v>172</v>
      </c>
      <c r="D71" s="33" t="s">
        <v>173</v>
      </c>
      <c r="E71" s="33" t="s">
        <v>174</v>
      </c>
      <c r="F71" s="33"/>
      <c r="G71" s="33" t="s">
        <v>175</v>
      </c>
      <c r="H71" s="33" t="s">
        <v>53</v>
      </c>
      <c r="I71" s="33" t="s">
        <v>36</v>
      </c>
      <c r="J71" s="33" t="s">
        <v>37</v>
      </c>
      <c r="K71" s="33">
        <v>1985023781566</v>
      </c>
      <c r="L71" s="35">
        <v>46136</v>
      </c>
      <c r="M71" s="36">
        <v>0.4375</v>
      </c>
      <c r="N71" s="33" t="s">
        <v>41</v>
      </c>
      <c r="O71" s="33" t="s">
        <v>42</v>
      </c>
      <c r="P71" s="33">
        <v>1</v>
      </c>
      <c r="Q71" s="33"/>
      <c r="R71" s="33" t="s">
        <v>176</v>
      </c>
      <c r="S71" s="33" t="s">
        <v>44</v>
      </c>
      <c r="T71" s="33">
        <v>0</v>
      </c>
      <c r="U71" s="33" t="s">
        <v>172</v>
      </c>
      <c r="V71" s="33" t="s">
        <v>173</v>
      </c>
      <c r="W71" s="33" t="s">
        <v>174</v>
      </c>
      <c r="X71" s="33"/>
      <c r="Y71" s="33"/>
      <c r="Z71" s="33"/>
      <c r="AA71" s="33">
        <v>1.4600462703226601E+24</v>
      </c>
      <c r="AB71" s="33" t="s">
        <v>46</v>
      </c>
    </row>
    <row r="72" spans="1:28" x14ac:dyDescent="0.25">
      <c r="A72" s="33">
        <v>14685066173</v>
      </c>
      <c r="B72" s="34">
        <v>46127.55505787037</v>
      </c>
      <c r="C72" s="33" t="s">
        <v>528</v>
      </c>
      <c r="D72" s="33" t="s">
        <v>529</v>
      </c>
      <c r="E72" s="33" t="s">
        <v>530</v>
      </c>
      <c r="F72" s="33"/>
      <c r="G72" s="33" t="s">
        <v>84</v>
      </c>
      <c r="H72" s="33" t="s">
        <v>53</v>
      </c>
      <c r="I72" s="33" t="s">
        <v>36</v>
      </c>
      <c r="J72" s="33" t="s">
        <v>37</v>
      </c>
      <c r="K72" s="33">
        <v>1985023781566</v>
      </c>
      <c r="L72" s="35">
        <v>46136</v>
      </c>
      <c r="M72" s="36">
        <v>0.4375</v>
      </c>
      <c r="N72" s="33" t="s">
        <v>41</v>
      </c>
      <c r="O72" s="33" t="s">
        <v>42</v>
      </c>
      <c r="P72" s="33">
        <v>1</v>
      </c>
      <c r="Q72" s="33"/>
      <c r="R72" s="33" t="s">
        <v>43</v>
      </c>
      <c r="S72" s="33" t="s">
        <v>44</v>
      </c>
      <c r="T72" s="33">
        <v>25</v>
      </c>
      <c r="U72" s="33" t="s">
        <v>528</v>
      </c>
      <c r="V72" s="33" t="s">
        <v>529</v>
      </c>
      <c r="W72" s="33" t="s">
        <v>530</v>
      </c>
      <c r="X72" s="33"/>
      <c r="Y72" s="33"/>
      <c r="Z72" s="33"/>
      <c r="AA72" s="33">
        <v>1.46850661732267E+24</v>
      </c>
      <c r="AB72" s="33" t="s">
        <v>46</v>
      </c>
    </row>
    <row r="73" spans="1:28" x14ac:dyDescent="0.25">
      <c r="A73" s="33">
        <v>14642585283</v>
      </c>
      <c r="B73" s="34">
        <v>46121.778749999998</v>
      </c>
      <c r="C73" s="33" t="s">
        <v>310</v>
      </c>
      <c r="D73" s="33" t="s">
        <v>311</v>
      </c>
      <c r="E73" s="33" t="s">
        <v>312</v>
      </c>
      <c r="F73" s="33"/>
      <c r="G73" s="33" t="s">
        <v>313</v>
      </c>
      <c r="H73" s="33" t="s">
        <v>314</v>
      </c>
      <c r="I73" s="33" t="s">
        <v>36</v>
      </c>
      <c r="J73" s="33" t="s">
        <v>37</v>
      </c>
      <c r="K73" s="33">
        <v>1985023781566</v>
      </c>
      <c r="L73" s="35">
        <v>46136</v>
      </c>
      <c r="M73" s="36">
        <v>0.4375</v>
      </c>
      <c r="N73" s="33" t="s">
        <v>41</v>
      </c>
      <c r="O73" s="33" t="s">
        <v>42</v>
      </c>
      <c r="P73" s="33">
        <v>1</v>
      </c>
      <c r="Q73" s="33"/>
      <c r="R73" s="33" t="s">
        <v>54</v>
      </c>
      <c r="S73" s="33" t="s">
        <v>44</v>
      </c>
      <c r="T73" s="33">
        <v>0</v>
      </c>
      <c r="U73" s="33" t="s">
        <v>310</v>
      </c>
      <c r="V73" s="33" t="s">
        <v>311</v>
      </c>
      <c r="W73" s="33" t="s">
        <v>312</v>
      </c>
      <c r="X73" s="33"/>
      <c r="Y73" s="33"/>
      <c r="Z73" s="33"/>
      <c r="AA73" s="33">
        <v>1.4642585283226699E+24</v>
      </c>
      <c r="AB73" s="33" t="s">
        <v>46</v>
      </c>
    </row>
    <row r="74" spans="1:28" x14ac:dyDescent="0.25">
      <c r="A74" s="33">
        <v>14679980723</v>
      </c>
      <c r="B74" s="34">
        <v>46126.920393518521</v>
      </c>
      <c r="C74" s="33" t="s">
        <v>503</v>
      </c>
      <c r="D74" s="33" t="s">
        <v>504</v>
      </c>
      <c r="E74" s="33" t="s">
        <v>505</v>
      </c>
      <c r="F74" s="33"/>
      <c r="G74" s="33" t="s">
        <v>52</v>
      </c>
      <c r="H74" s="33" t="s">
        <v>53</v>
      </c>
      <c r="I74" s="33" t="s">
        <v>36</v>
      </c>
      <c r="J74" s="33" t="s">
        <v>37</v>
      </c>
      <c r="K74" s="33">
        <v>1985023781566</v>
      </c>
      <c r="L74" s="35">
        <v>46136</v>
      </c>
      <c r="M74" s="36">
        <v>0.4375</v>
      </c>
      <c r="N74" s="33" t="s">
        <v>41</v>
      </c>
      <c r="O74" s="33" t="s">
        <v>42</v>
      </c>
      <c r="P74" s="33">
        <v>1</v>
      </c>
      <c r="Q74" s="33"/>
      <c r="R74" s="33" t="s">
        <v>176</v>
      </c>
      <c r="S74" s="33" t="s">
        <v>44</v>
      </c>
      <c r="T74" s="33">
        <v>0</v>
      </c>
      <c r="U74" s="33" t="s">
        <v>503</v>
      </c>
      <c r="V74" s="33" t="s">
        <v>504</v>
      </c>
      <c r="W74" s="33" t="s">
        <v>505</v>
      </c>
      <c r="X74" s="33"/>
      <c r="Y74" s="33"/>
      <c r="Z74" s="33"/>
      <c r="AA74" s="33">
        <v>1.46799807232267E+24</v>
      </c>
      <c r="AB74" s="33" t="s">
        <v>46</v>
      </c>
    </row>
    <row r="75" spans="1:28" x14ac:dyDescent="0.25">
      <c r="A75" s="33">
        <v>14646473443</v>
      </c>
      <c r="B75" s="34">
        <v>46122.376087962963</v>
      </c>
      <c r="C75" s="33" t="s">
        <v>341</v>
      </c>
      <c r="D75" s="33" t="s">
        <v>342</v>
      </c>
      <c r="E75" s="33" t="s">
        <v>343</v>
      </c>
      <c r="F75" s="33"/>
      <c r="G75" s="33" t="s">
        <v>52</v>
      </c>
      <c r="H75" s="33" t="s">
        <v>53</v>
      </c>
      <c r="I75" s="33" t="s">
        <v>36</v>
      </c>
      <c r="J75" s="33" t="s">
        <v>37</v>
      </c>
      <c r="K75" s="33">
        <v>1985023781566</v>
      </c>
      <c r="L75" s="35">
        <v>46136</v>
      </c>
      <c r="M75" s="36">
        <v>0.4375</v>
      </c>
      <c r="N75" s="33" t="s">
        <v>41</v>
      </c>
      <c r="O75" s="33" t="s">
        <v>42</v>
      </c>
      <c r="P75" s="33">
        <v>1</v>
      </c>
      <c r="Q75" s="33"/>
      <c r="R75" s="33" t="s">
        <v>54</v>
      </c>
      <c r="S75" s="33" t="s">
        <v>44</v>
      </c>
      <c r="T75" s="33">
        <v>0</v>
      </c>
      <c r="U75" s="33" t="s">
        <v>341</v>
      </c>
      <c r="V75" s="33" t="s">
        <v>342</v>
      </c>
      <c r="W75" s="33" t="s">
        <v>343</v>
      </c>
      <c r="X75" s="33"/>
      <c r="Y75" s="33"/>
      <c r="Z75" s="33"/>
      <c r="AA75" s="33">
        <v>1.46464734432267E+24</v>
      </c>
      <c r="AB75" s="33" t="s">
        <v>46</v>
      </c>
    </row>
    <row r="76" spans="1:28" x14ac:dyDescent="0.25">
      <c r="A76" s="33">
        <v>14647319883</v>
      </c>
      <c r="B76" s="34">
        <v>46122.456736111111</v>
      </c>
      <c r="C76" s="33" t="s">
        <v>351</v>
      </c>
      <c r="D76" s="33" t="s">
        <v>352</v>
      </c>
      <c r="E76" s="33" t="s">
        <v>353</v>
      </c>
      <c r="F76" s="33"/>
      <c r="G76" s="33" t="s">
        <v>52</v>
      </c>
      <c r="H76" s="33" t="s">
        <v>53</v>
      </c>
      <c r="I76" s="33" t="s">
        <v>36</v>
      </c>
      <c r="J76" s="33" t="s">
        <v>37</v>
      </c>
      <c r="K76" s="33">
        <v>1985023781566</v>
      </c>
      <c r="L76" s="35">
        <v>46136</v>
      </c>
      <c r="M76" s="36">
        <v>0.4375</v>
      </c>
      <c r="N76" s="33" t="s">
        <v>41</v>
      </c>
      <c r="O76" s="33" t="s">
        <v>42</v>
      </c>
      <c r="P76" s="33">
        <v>1</v>
      </c>
      <c r="Q76" s="33"/>
      <c r="R76" s="33" t="s">
        <v>176</v>
      </c>
      <c r="S76" s="33" t="s">
        <v>44</v>
      </c>
      <c r="T76" s="33">
        <v>0</v>
      </c>
      <c r="U76" s="33" t="s">
        <v>347</v>
      </c>
      <c r="V76" s="33" t="s">
        <v>348</v>
      </c>
      <c r="W76" s="33" t="s">
        <v>349</v>
      </c>
      <c r="X76" s="33"/>
      <c r="Y76" s="33"/>
      <c r="Z76" s="33"/>
      <c r="AA76" s="33">
        <v>1.46473198832267E+24</v>
      </c>
      <c r="AB76" s="33" t="s">
        <v>46</v>
      </c>
    </row>
    <row r="77" spans="1:28" x14ac:dyDescent="0.25">
      <c r="A77" s="33">
        <v>14572773463</v>
      </c>
      <c r="B77" s="34">
        <v>46111.769918981481</v>
      </c>
      <c r="C77" s="33" t="s">
        <v>113</v>
      </c>
      <c r="D77" s="33" t="s">
        <v>114</v>
      </c>
      <c r="E77" s="33" t="s">
        <v>115</v>
      </c>
      <c r="F77" s="33"/>
      <c r="G77" s="33"/>
      <c r="H77" s="33" t="s">
        <v>116</v>
      </c>
      <c r="I77" s="33" t="s">
        <v>36</v>
      </c>
      <c r="J77" s="33" t="s">
        <v>37</v>
      </c>
      <c r="K77" s="33">
        <v>1985023781566</v>
      </c>
      <c r="L77" s="35">
        <v>46136</v>
      </c>
      <c r="M77" s="36">
        <v>0.4375</v>
      </c>
      <c r="N77" s="33" t="s">
        <v>41</v>
      </c>
      <c r="O77" s="33" t="s">
        <v>42</v>
      </c>
      <c r="P77" s="33">
        <v>1</v>
      </c>
      <c r="Q77" s="33"/>
      <c r="R77" s="33" t="s">
        <v>43</v>
      </c>
      <c r="S77" s="33" t="s">
        <v>44</v>
      </c>
      <c r="T77" s="33">
        <v>0</v>
      </c>
      <c r="U77" s="33" t="s">
        <v>113</v>
      </c>
      <c r="V77" s="33" t="s">
        <v>114</v>
      </c>
      <c r="W77" s="33" t="s">
        <v>115</v>
      </c>
      <c r="X77" s="33"/>
      <c r="Y77" s="33"/>
      <c r="Z77" s="33"/>
      <c r="AA77" s="33">
        <v>1.45727734632265E+24</v>
      </c>
      <c r="AB77" s="33" t="s">
        <v>46</v>
      </c>
    </row>
    <row r="78" spans="1:28" x14ac:dyDescent="0.25">
      <c r="A78" s="33">
        <v>14685445333</v>
      </c>
      <c r="B78" s="34">
        <v>46127.587141203701</v>
      </c>
      <c r="C78" s="33" t="s">
        <v>706</v>
      </c>
      <c r="D78" s="33" t="s">
        <v>706</v>
      </c>
      <c r="E78" s="33" t="s">
        <v>534</v>
      </c>
      <c r="F78" s="33"/>
      <c r="G78" s="33" t="s">
        <v>109</v>
      </c>
      <c r="H78" s="33" t="s">
        <v>53</v>
      </c>
      <c r="I78" s="33" t="s">
        <v>36</v>
      </c>
      <c r="J78" s="33" t="s">
        <v>37</v>
      </c>
      <c r="K78" s="33">
        <v>1985023781566</v>
      </c>
      <c r="L78" s="35">
        <v>46136</v>
      </c>
      <c r="M78" s="36">
        <v>0.4375</v>
      </c>
      <c r="N78" s="33" t="s">
        <v>41</v>
      </c>
      <c r="O78" s="33" t="s">
        <v>42</v>
      </c>
      <c r="P78" s="33">
        <v>1</v>
      </c>
      <c r="Q78" s="33"/>
      <c r="R78" s="33" t="s">
        <v>43</v>
      </c>
      <c r="S78" s="33" t="s">
        <v>44</v>
      </c>
      <c r="T78" s="33">
        <v>25</v>
      </c>
      <c r="U78" s="33" t="s">
        <v>535</v>
      </c>
      <c r="V78" s="33" t="s">
        <v>536</v>
      </c>
      <c r="W78" s="33" t="s">
        <v>534</v>
      </c>
      <c r="X78" s="33"/>
      <c r="Y78" s="33"/>
      <c r="Z78" s="33"/>
      <c r="AA78" s="33">
        <v>1.4685445333226701E+24</v>
      </c>
      <c r="AB78" s="33" t="s">
        <v>46</v>
      </c>
    </row>
    <row r="79" spans="1:28" x14ac:dyDescent="0.25">
      <c r="A79" s="33">
        <v>14578579883</v>
      </c>
      <c r="B79" s="34">
        <v>46112.624189814815</v>
      </c>
      <c r="C79" s="33" t="s">
        <v>131</v>
      </c>
      <c r="D79" s="33" t="s">
        <v>132</v>
      </c>
      <c r="E79" s="33" t="s">
        <v>133</v>
      </c>
      <c r="F79" s="33"/>
      <c r="G79" s="33" t="s">
        <v>130</v>
      </c>
      <c r="H79" s="33" t="s">
        <v>35</v>
      </c>
      <c r="I79" s="33" t="s">
        <v>36</v>
      </c>
      <c r="J79" s="33" t="s">
        <v>37</v>
      </c>
      <c r="K79" s="33">
        <v>1985023781566</v>
      </c>
      <c r="L79" s="35">
        <v>46136</v>
      </c>
      <c r="M79" s="36">
        <v>0.4375</v>
      </c>
      <c r="N79" s="33" t="s">
        <v>41</v>
      </c>
      <c r="O79" s="33" t="s">
        <v>42</v>
      </c>
      <c r="P79" s="33">
        <v>1</v>
      </c>
      <c r="Q79" s="33"/>
      <c r="R79" s="33" t="s">
        <v>43</v>
      </c>
      <c r="S79" s="33" t="s">
        <v>44</v>
      </c>
      <c r="T79" s="33">
        <v>25</v>
      </c>
      <c r="U79" s="33" t="s">
        <v>131</v>
      </c>
      <c r="V79" s="33" t="s">
        <v>132</v>
      </c>
      <c r="W79" s="33" t="s">
        <v>133</v>
      </c>
      <c r="X79" s="33"/>
      <c r="Y79" s="33"/>
      <c r="Z79" s="33"/>
      <c r="AA79" s="33">
        <v>1.4578579883226499E+24</v>
      </c>
      <c r="AB79" s="33" t="s">
        <v>46</v>
      </c>
    </row>
    <row r="80" spans="1:28" x14ac:dyDescent="0.25">
      <c r="A80" s="33">
        <v>14667485963</v>
      </c>
      <c r="B80" s="34">
        <v>46125.483738425923</v>
      </c>
      <c r="C80" s="33" t="s">
        <v>425</v>
      </c>
      <c r="D80" s="33" t="s">
        <v>426</v>
      </c>
      <c r="E80" s="33" t="s">
        <v>427</v>
      </c>
      <c r="F80" s="33"/>
      <c r="G80" s="33" t="s">
        <v>428</v>
      </c>
      <c r="H80" s="33" t="s">
        <v>429</v>
      </c>
      <c r="I80" s="33" t="s">
        <v>36</v>
      </c>
      <c r="J80" s="33" t="s">
        <v>37</v>
      </c>
      <c r="K80" s="33">
        <v>1985023781566</v>
      </c>
      <c r="L80" s="35">
        <v>46136</v>
      </c>
      <c r="M80" s="36">
        <v>0.4375</v>
      </c>
      <c r="N80" s="33" t="s">
        <v>41</v>
      </c>
      <c r="O80" s="33" t="s">
        <v>42</v>
      </c>
      <c r="P80" s="33">
        <v>1</v>
      </c>
      <c r="Q80" s="33"/>
      <c r="R80" s="33" t="s">
        <v>43</v>
      </c>
      <c r="S80" s="33" t="s">
        <v>44</v>
      </c>
      <c r="T80" s="33">
        <v>25</v>
      </c>
      <c r="U80" s="33" t="s">
        <v>425</v>
      </c>
      <c r="V80" s="33" t="s">
        <v>426</v>
      </c>
      <c r="W80" s="33" t="s">
        <v>427</v>
      </c>
      <c r="X80" s="33"/>
      <c r="Y80" s="33"/>
      <c r="Z80" s="33"/>
      <c r="AA80" s="33">
        <v>1.46674859632267E+24</v>
      </c>
      <c r="AB80" s="33" t="s">
        <v>46</v>
      </c>
    </row>
    <row r="81" spans="1:28" x14ac:dyDescent="0.25">
      <c r="A81" s="46">
        <v>14578860033</v>
      </c>
      <c r="B81" s="51">
        <v>46112.652407407404</v>
      </c>
      <c r="C81" s="46" t="s">
        <v>732</v>
      </c>
      <c r="D81" s="46" t="s">
        <v>733</v>
      </c>
      <c r="E81" s="46" t="s">
        <v>140</v>
      </c>
      <c r="F81" s="46"/>
      <c r="G81" s="46" t="s">
        <v>141</v>
      </c>
      <c r="H81" s="46" t="s">
        <v>35</v>
      </c>
      <c r="I81" s="46" t="s">
        <v>36</v>
      </c>
      <c r="J81" s="46" t="s">
        <v>37</v>
      </c>
      <c r="K81" s="46">
        <v>1985023781566</v>
      </c>
      <c r="L81" s="52">
        <v>46136</v>
      </c>
      <c r="M81" s="53">
        <v>0.4375</v>
      </c>
      <c r="N81" s="46" t="s">
        <v>41</v>
      </c>
      <c r="O81" s="46" t="s">
        <v>42</v>
      </c>
      <c r="P81" s="46">
        <v>1</v>
      </c>
      <c r="Q81" s="46"/>
      <c r="R81" s="46" t="s">
        <v>142</v>
      </c>
      <c r="S81" s="46" t="s">
        <v>44</v>
      </c>
      <c r="T81" s="46">
        <v>250</v>
      </c>
      <c r="U81" s="46" t="s">
        <v>143</v>
      </c>
      <c r="V81" s="46" t="s">
        <v>144</v>
      </c>
      <c r="W81" s="46" t="s">
        <v>145</v>
      </c>
      <c r="X81" s="46"/>
      <c r="Y81" s="46"/>
      <c r="Z81" s="46"/>
      <c r="AA81" s="46">
        <v>1.45788600332266E+24</v>
      </c>
      <c r="AB81" s="46" t="s">
        <v>46</v>
      </c>
    </row>
    <row r="82" spans="1:28" x14ac:dyDescent="0.25">
      <c r="A82" s="46">
        <v>14666871543</v>
      </c>
      <c r="B82" s="51">
        <v>46125.429178240738</v>
      </c>
      <c r="C82" s="46" t="s">
        <v>138</v>
      </c>
      <c r="D82" s="46" t="s">
        <v>139</v>
      </c>
      <c r="E82" s="46" t="s">
        <v>140</v>
      </c>
      <c r="F82" s="46"/>
      <c r="G82" s="46" t="s">
        <v>34</v>
      </c>
      <c r="H82" s="46" t="s">
        <v>35</v>
      </c>
      <c r="I82" s="46" t="s">
        <v>36</v>
      </c>
      <c r="J82" s="46" t="s">
        <v>37</v>
      </c>
      <c r="K82" s="46">
        <v>1985023781566</v>
      </c>
      <c r="L82" s="52">
        <v>46136</v>
      </c>
      <c r="M82" s="53">
        <v>0.4375</v>
      </c>
      <c r="N82" s="46" t="s">
        <v>41</v>
      </c>
      <c r="O82" s="46" t="s">
        <v>42</v>
      </c>
      <c r="P82" s="46">
        <v>1</v>
      </c>
      <c r="Q82" s="46"/>
      <c r="R82" s="46" t="s">
        <v>43</v>
      </c>
      <c r="S82" s="46" t="s">
        <v>44</v>
      </c>
      <c r="T82" s="46">
        <v>0</v>
      </c>
      <c r="U82" s="46" t="s">
        <v>138</v>
      </c>
      <c r="V82" s="46" t="s">
        <v>139</v>
      </c>
      <c r="W82" s="46" t="s">
        <v>140</v>
      </c>
      <c r="X82" s="46"/>
      <c r="Y82" s="46"/>
      <c r="Z82" s="46"/>
      <c r="AA82" s="46">
        <v>1.4666871543226701E+24</v>
      </c>
      <c r="AB82" s="46" t="s">
        <v>46</v>
      </c>
    </row>
    <row r="83" spans="1:28" x14ac:dyDescent="0.25">
      <c r="A83" s="46">
        <v>14502862353</v>
      </c>
      <c r="B83" s="51">
        <v>46101.493483796294</v>
      </c>
      <c r="C83" s="46" t="s">
        <v>66</v>
      </c>
      <c r="D83" s="46" t="s">
        <v>67</v>
      </c>
      <c r="E83" s="46" t="s">
        <v>68</v>
      </c>
      <c r="F83" s="46"/>
      <c r="G83" s="46" t="s">
        <v>69</v>
      </c>
      <c r="H83" s="46" t="s">
        <v>53</v>
      </c>
      <c r="I83" s="46" t="s">
        <v>36</v>
      </c>
      <c r="J83" s="46" t="s">
        <v>37</v>
      </c>
      <c r="K83" s="46">
        <v>1985023781566</v>
      </c>
      <c r="L83" s="52">
        <v>46136</v>
      </c>
      <c r="M83" s="53">
        <v>0.4375</v>
      </c>
      <c r="N83" s="46" t="s">
        <v>41</v>
      </c>
      <c r="O83" s="46" t="s">
        <v>42</v>
      </c>
      <c r="P83" s="46">
        <v>1</v>
      </c>
      <c r="Q83" s="46"/>
      <c r="R83" s="46" t="s">
        <v>43</v>
      </c>
      <c r="S83" s="46" t="s">
        <v>44</v>
      </c>
      <c r="T83" s="46">
        <v>25</v>
      </c>
      <c r="U83" s="46" t="s">
        <v>66</v>
      </c>
      <c r="V83" s="46" t="s">
        <v>67</v>
      </c>
      <c r="W83" s="46" t="s">
        <v>68</v>
      </c>
      <c r="X83" s="46"/>
      <c r="Y83" s="46"/>
      <c r="Z83" s="46"/>
      <c r="AA83" s="46">
        <v>1.4502862353226399E+24</v>
      </c>
      <c r="AB83" s="46" t="s">
        <v>46</v>
      </c>
    </row>
    <row r="84" spans="1:28" x14ac:dyDescent="0.25">
      <c r="A84" s="46">
        <v>14502862353</v>
      </c>
      <c r="B84" s="51">
        <v>46101.493483796294</v>
      </c>
      <c r="C84" s="46" t="s">
        <v>734</v>
      </c>
      <c r="D84" s="46" t="s">
        <v>735</v>
      </c>
      <c r="E84" s="46" t="s">
        <v>738</v>
      </c>
      <c r="F84" s="46"/>
      <c r="G84" s="46" t="s">
        <v>69</v>
      </c>
      <c r="H84" s="46" t="s">
        <v>53</v>
      </c>
      <c r="I84" s="46" t="s">
        <v>36</v>
      </c>
      <c r="J84" s="46" t="s">
        <v>37</v>
      </c>
      <c r="K84" s="46">
        <v>1985023781566</v>
      </c>
      <c r="L84" s="52">
        <v>46136</v>
      </c>
      <c r="M84" s="53">
        <v>0.4375</v>
      </c>
      <c r="N84" s="46" t="s">
        <v>41</v>
      </c>
      <c r="O84" s="46" t="s">
        <v>42</v>
      </c>
      <c r="P84" s="46">
        <v>1</v>
      </c>
      <c r="Q84" s="46"/>
      <c r="R84" s="46" t="s">
        <v>43</v>
      </c>
      <c r="S84" s="46" t="s">
        <v>44</v>
      </c>
      <c r="T84" s="46">
        <v>25</v>
      </c>
      <c r="U84" s="46" t="s">
        <v>66</v>
      </c>
      <c r="V84" s="46" t="s">
        <v>67</v>
      </c>
      <c r="W84" s="46" t="s">
        <v>68</v>
      </c>
      <c r="X84" s="46"/>
      <c r="Y84" s="46"/>
      <c r="Z84" s="46"/>
      <c r="AA84" s="46">
        <v>1.4502862353226399E+24</v>
      </c>
      <c r="AB84" s="46" t="s">
        <v>46</v>
      </c>
    </row>
    <row r="85" spans="1:28" x14ac:dyDescent="0.25">
      <c r="A85" s="46">
        <v>14502862353</v>
      </c>
      <c r="B85" s="51">
        <v>46101.493483796294</v>
      </c>
      <c r="C85" s="46" t="s">
        <v>131</v>
      </c>
      <c r="D85" s="46" t="s">
        <v>736</v>
      </c>
      <c r="E85" s="46" t="s">
        <v>737</v>
      </c>
      <c r="F85" s="46"/>
      <c r="G85" s="46" t="s">
        <v>69</v>
      </c>
      <c r="H85" s="46" t="s">
        <v>53</v>
      </c>
      <c r="I85" s="46" t="s">
        <v>36</v>
      </c>
      <c r="J85" s="46" t="s">
        <v>37</v>
      </c>
      <c r="K85" s="46">
        <v>1985023781566</v>
      </c>
      <c r="L85" s="52">
        <v>46136</v>
      </c>
      <c r="M85" s="53">
        <v>0.4375</v>
      </c>
      <c r="N85" s="46" t="s">
        <v>41</v>
      </c>
      <c r="O85" s="46" t="s">
        <v>42</v>
      </c>
      <c r="P85" s="46">
        <v>1</v>
      </c>
      <c r="Q85" s="46"/>
      <c r="R85" s="46" t="s">
        <v>43</v>
      </c>
      <c r="S85" s="46" t="s">
        <v>44</v>
      </c>
      <c r="T85" s="46">
        <v>25</v>
      </c>
      <c r="U85" s="46" t="s">
        <v>66</v>
      </c>
      <c r="V85" s="46" t="s">
        <v>67</v>
      </c>
      <c r="W85" s="46" t="s">
        <v>68</v>
      </c>
      <c r="X85" s="46"/>
      <c r="Y85" s="46"/>
      <c r="Z85" s="46"/>
      <c r="AA85" s="46">
        <v>1.4502862353226399E+24</v>
      </c>
      <c r="AB85" s="46" t="s">
        <v>46</v>
      </c>
    </row>
    <row r="86" spans="1:28" x14ac:dyDescent="0.25">
      <c r="A86" s="33">
        <v>14626595693</v>
      </c>
      <c r="B86" s="34">
        <v>46119.79315972222</v>
      </c>
      <c r="C86" s="33" t="s">
        <v>156</v>
      </c>
      <c r="D86" s="33" t="s">
        <v>243</v>
      </c>
      <c r="E86" s="33" t="s">
        <v>244</v>
      </c>
      <c r="F86" s="33"/>
      <c r="G86" s="33" t="s">
        <v>52</v>
      </c>
      <c r="H86" s="33" t="s">
        <v>53</v>
      </c>
      <c r="I86" s="33" t="s">
        <v>36</v>
      </c>
      <c r="J86" s="33" t="s">
        <v>37</v>
      </c>
      <c r="K86" s="33">
        <v>1985023781566</v>
      </c>
      <c r="L86" s="35">
        <v>46136</v>
      </c>
      <c r="M86" s="36">
        <v>0.4375</v>
      </c>
      <c r="N86" s="33" t="s">
        <v>41</v>
      </c>
      <c r="O86" s="33" t="s">
        <v>42</v>
      </c>
      <c r="P86" s="33">
        <v>1</v>
      </c>
      <c r="Q86" s="33"/>
      <c r="R86" s="33" t="s">
        <v>43</v>
      </c>
      <c r="S86" s="33" t="s">
        <v>44</v>
      </c>
      <c r="T86" s="33">
        <v>0</v>
      </c>
      <c r="U86" s="33" t="s">
        <v>156</v>
      </c>
      <c r="V86" s="33" t="s">
        <v>243</v>
      </c>
      <c r="W86" s="33" t="s">
        <v>244</v>
      </c>
      <c r="X86" s="33"/>
      <c r="Y86" s="33"/>
      <c r="Z86" s="33"/>
      <c r="AA86" s="33">
        <v>1.4626595693226601E+24</v>
      </c>
      <c r="AB86" s="33" t="s">
        <v>46</v>
      </c>
    </row>
    <row r="87" spans="1:28" x14ac:dyDescent="0.25">
      <c r="A87" s="33">
        <v>14643408123</v>
      </c>
      <c r="B87" s="34">
        <v>46121.884756944448</v>
      </c>
      <c r="C87" s="33" t="s">
        <v>323</v>
      </c>
      <c r="D87" s="33" t="s">
        <v>324</v>
      </c>
      <c r="E87" s="33" t="s">
        <v>325</v>
      </c>
      <c r="F87" s="33"/>
      <c r="G87" s="33" t="s">
        <v>52</v>
      </c>
      <c r="H87" s="33" t="s">
        <v>53</v>
      </c>
      <c r="I87" s="33" t="s">
        <v>36</v>
      </c>
      <c r="J87" s="33" t="s">
        <v>37</v>
      </c>
      <c r="K87" s="33">
        <v>1985023781566</v>
      </c>
      <c r="L87" s="35">
        <v>46136</v>
      </c>
      <c r="M87" s="36">
        <v>0.4375</v>
      </c>
      <c r="N87" s="33" t="s">
        <v>41</v>
      </c>
      <c r="O87" s="33" t="s">
        <v>42</v>
      </c>
      <c r="P87" s="33">
        <v>1</v>
      </c>
      <c r="Q87" s="33"/>
      <c r="R87" s="33" t="s">
        <v>54</v>
      </c>
      <c r="S87" s="33" t="s">
        <v>44</v>
      </c>
      <c r="T87" s="33">
        <v>0</v>
      </c>
      <c r="U87" s="33" t="s">
        <v>323</v>
      </c>
      <c r="V87" s="33" t="s">
        <v>324</v>
      </c>
      <c r="W87" s="33" t="s">
        <v>325</v>
      </c>
      <c r="X87" s="33"/>
      <c r="Y87" s="33"/>
      <c r="Z87" s="33"/>
      <c r="AA87" s="33">
        <v>1.46434081232267E+24</v>
      </c>
      <c r="AB87" s="33" t="s">
        <v>46</v>
      </c>
    </row>
    <row r="88" spans="1:28" x14ac:dyDescent="0.25">
      <c r="A88" s="33">
        <v>14625719843</v>
      </c>
      <c r="B88" s="34">
        <v>46119.688310185185</v>
      </c>
      <c r="C88" s="33" t="s">
        <v>232</v>
      </c>
      <c r="D88" s="33" t="s">
        <v>233</v>
      </c>
      <c r="E88" s="33" t="s">
        <v>234</v>
      </c>
      <c r="F88" s="33"/>
      <c r="G88" s="33" t="s">
        <v>52</v>
      </c>
      <c r="H88" s="33" t="s">
        <v>53</v>
      </c>
      <c r="I88" s="33" t="s">
        <v>36</v>
      </c>
      <c r="J88" s="33" t="s">
        <v>37</v>
      </c>
      <c r="K88" s="33">
        <v>1985023781566</v>
      </c>
      <c r="L88" s="35">
        <v>46136</v>
      </c>
      <c r="M88" s="36">
        <v>0.4375</v>
      </c>
      <c r="N88" s="33" t="s">
        <v>41</v>
      </c>
      <c r="O88" s="33" t="s">
        <v>42</v>
      </c>
      <c r="P88" s="33">
        <v>1</v>
      </c>
      <c r="Q88" s="33"/>
      <c r="R88" s="33" t="s">
        <v>43</v>
      </c>
      <c r="S88" s="33" t="s">
        <v>44</v>
      </c>
      <c r="T88" s="33">
        <v>0</v>
      </c>
      <c r="U88" s="33" t="s">
        <v>232</v>
      </c>
      <c r="V88" s="33" t="s">
        <v>233</v>
      </c>
      <c r="W88" s="33" t="s">
        <v>234</v>
      </c>
      <c r="X88" s="33"/>
      <c r="Y88" s="33"/>
      <c r="Z88" s="33"/>
      <c r="AA88" s="33">
        <v>1.46257198432266E+24</v>
      </c>
      <c r="AB88" s="33" t="s">
        <v>46</v>
      </c>
    </row>
    <row r="89" spans="1:28" x14ac:dyDescent="0.25">
      <c r="A89" s="33">
        <v>14680232433</v>
      </c>
      <c r="B89" s="34">
        <v>46126.968564814815</v>
      </c>
      <c r="C89" s="33" t="s">
        <v>509</v>
      </c>
      <c r="D89" s="33" t="s">
        <v>510</v>
      </c>
      <c r="E89" s="33" t="s">
        <v>511</v>
      </c>
      <c r="F89" s="33"/>
      <c r="G89" s="33" t="s">
        <v>52</v>
      </c>
      <c r="H89" s="33" t="s">
        <v>53</v>
      </c>
      <c r="I89" s="33" t="s">
        <v>36</v>
      </c>
      <c r="J89" s="33" t="s">
        <v>37</v>
      </c>
      <c r="K89" s="33">
        <v>1985023781566</v>
      </c>
      <c r="L89" s="35">
        <v>46136</v>
      </c>
      <c r="M89" s="36">
        <v>0.4375</v>
      </c>
      <c r="N89" s="33" t="s">
        <v>41</v>
      </c>
      <c r="O89" s="33" t="s">
        <v>42</v>
      </c>
      <c r="P89" s="33">
        <v>1</v>
      </c>
      <c r="Q89" s="33"/>
      <c r="R89" s="33" t="s">
        <v>176</v>
      </c>
      <c r="S89" s="33" t="s">
        <v>44</v>
      </c>
      <c r="T89" s="33">
        <v>0</v>
      </c>
      <c r="U89" s="33" t="s">
        <v>509</v>
      </c>
      <c r="V89" s="33" t="s">
        <v>510</v>
      </c>
      <c r="W89" s="33" t="s">
        <v>511</v>
      </c>
      <c r="X89" s="33"/>
      <c r="Y89" s="33"/>
      <c r="Z89" s="33"/>
      <c r="AA89" s="33">
        <v>1.4680232433226699E+24</v>
      </c>
      <c r="AB89" s="33" t="s">
        <v>46</v>
      </c>
    </row>
    <row r="90" spans="1:28" x14ac:dyDescent="0.25">
      <c r="A90" s="33">
        <v>14633049863</v>
      </c>
      <c r="B90" s="34">
        <v>46120.631122685183</v>
      </c>
      <c r="C90" s="33" t="s">
        <v>272</v>
      </c>
      <c r="D90" s="33" t="s">
        <v>273</v>
      </c>
      <c r="E90" s="33" t="s">
        <v>274</v>
      </c>
      <c r="F90" s="33"/>
      <c r="G90" s="33" t="s">
        <v>275</v>
      </c>
      <c r="H90" s="33" t="s">
        <v>53</v>
      </c>
      <c r="I90" s="33" t="s">
        <v>36</v>
      </c>
      <c r="J90" s="33" t="s">
        <v>37</v>
      </c>
      <c r="K90" s="33">
        <v>1985023781566</v>
      </c>
      <c r="L90" s="35">
        <v>46136</v>
      </c>
      <c r="M90" s="36">
        <v>0.4375</v>
      </c>
      <c r="N90" s="33" t="s">
        <v>41</v>
      </c>
      <c r="O90" s="33" t="s">
        <v>42</v>
      </c>
      <c r="P90" s="33">
        <v>1</v>
      </c>
      <c r="Q90" s="33"/>
      <c r="R90" s="33" t="s">
        <v>43</v>
      </c>
      <c r="S90" s="33" t="s">
        <v>44</v>
      </c>
      <c r="T90" s="33">
        <v>25</v>
      </c>
      <c r="U90" s="33" t="s">
        <v>272</v>
      </c>
      <c r="V90" s="33" t="s">
        <v>273</v>
      </c>
      <c r="W90" s="33" t="s">
        <v>274</v>
      </c>
      <c r="X90" s="33"/>
      <c r="Y90" s="33"/>
      <c r="Z90" s="33"/>
      <c r="AA90" s="33">
        <v>1.46330498632266E+24</v>
      </c>
      <c r="AB90" s="33" t="s">
        <v>46</v>
      </c>
    </row>
    <row r="91" spans="1:28" x14ac:dyDescent="0.25">
      <c r="A91" s="33">
        <v>14519918903</v>
      </c>
      <c r="B91" s="34">
        <v>46104.337916666664</v>
      </c>
      <c r="C91" s="33" t="s">
        <v>75</v>
      </c>
      <c r="D91" s="33" t="s">
        <v>76</v>
      </c>
      <c r="E91" s="33" t="s">
        <v>77</v>
      </c>
      <c r="F91" s="33"/>
      <c r="G91" s="33" t="s">
        <v>52</v>
      </c>
      <c r="H91" s="33" t="s">
        <v>53</v>
      </c>
      <c r="I91" s="33" t="s">
        <v>36</v>
      </c>
      <c r="J91" s="33" t="s">
        <v>37</v>
      </c>
      <c r="K91" s="33">
        <v>1985023781566</v>
      </c>
      <c r="L91" s="35">
        <v>46136</v>
      </c>
      <c r="M91" s="36">
        <v>0.4375</v>
      </c>
      <c r="N91" s="33" t="s">
        <v>41</v>
      </c>
      <c r="O91" s="33" t="s">
        <v>42</v>
      </c>
      <c r="P91" s="33">
        <v>1</v>
      </c>
      <c r="Q91" s="33"/>
      <c r="R91" s="33" t="s">
        <v>43</v>
      </c>
      <c r="S91" s="33" t="s">
        <v>44</v>
      </c>
      <c r="T91" s="33">
        <v>25</v>
      </c>
      <c r="U91" s="33" t="s">
        <v>75</v>
      </c>
      <c r="V91" s="33" t="s">
        <v>76</v>
      </c>
      <c r="W91" s="33" t="s">
        <v>77</v>
      </c>
      <c r="X91" s="33"/>
      <c r="Y91" s="33"/>
      <c r="Z91" s="33"/>
      <c r="AA91" s="33">
        <v>1.4519918903226501E+24</v>
      </c>
      <c r="AB91" s="33" t="s">
        <v>46</v>
      </c>
    </row>
    <row r="92" spans="1:28" x14ac:dyDescent="0.25">
      <c r="A92" s="33">
        <v>14647865643</v>
      </c>
      <c r="B92" s="34">
        <v>46122.501770833333</v>
      </c>
      <c r="C92" s="33" t="s">
        <v>367</v>
      </c>
      <c r="D92" s="33" t="s">
        <v>368</v>
      </c>
      <c r="E92" s="33" t="s">
        <v>369</v>
      </c>
      <c r="F92" s="33"/>
      <c r="G92" s="33" t="s">
        <v>164</v>
      </c>
      <c r="H92" s="33" t="s">
        <v>53</v>
      </c>
      <c r="I92" s="33" t="s">
        <v>36</v>
      </c>
      <c r="J92" s="33" t="s">
        <v>37</v>
      </c>
      <c r="K92" s="33">
        <v>1985023781566</v>
      </c>
      <c r="L92" s="35">
        <v>46136</v>
      </c>
      <c r="M92" s="36">
        <v>0.4375</v>
      </c>
      <c r="N92" s="33" t="s">
        <v>41</v>
      </c>
      <c r="O92" s="33" t="s">
        <v>42</v>
      </c>
      <c r="P92" s="33">
        <v>1</v>
      </c>
      <c r="Q92" s="33"/>
      <c r="R92" s="33" t="s">
        <v>54</v>
      </c>
      <c r="S92" s="33" t="s">
        <v>44</v>
      </c>
      <c r="T92" s="33">
        <v>0</v>
      </c>
      <c r="U92" s="33" t="s">
        <v>367</v>
      </c>
      <c r="V92" s="33" t="s">
        <v>368</v>
      </c>
      <c r="W92" s="33" t="s">
        <v>369</v>
      </c>
      <c r="X92" s="33"/>
      <c r="Y92" s="33"/>
      <c r="Z92" s="33"/>
      <c r="AA92" s="33">
        <v>1.46478656432267E+24</v>
      </c>
      <c r="AB92" s="33" t="s">
        <v>46</v>
      </c>
    </row>
    <row r="93" spans="1:28" x14ac:dyDescent="0.25">
      <c r="A93" s="33">
        <v>14640234633</v>
      </c>
      <c r="B93" s="34">
        <v>46121.549699074072</v>
      </c>
      <c r="C93" s="33" t="s">
        <v>298</v>
      </c>
      <c r="D93" s="33" t="s">
        <v>299</v>
      </c>
      <c r="E93" s="33" t="s">
        <v>300</v>
      </c>
      <c r="F93" s="33"/>
      <c r="G93" s="33" t="s">
        <v>294</v>
      </c>
      <c r="H93" s="33" t="s">
        <v>53</v>
      </c>
      <c r="I93" s="33" t="s">
        <v>36</v>
      </c>
      <c r="J93" s="33" t="s">
        <v>37</v>
      </c>
      <c r="K93" s="33">
        <v>1985023781566</v>
      </c>
      <c r="L93" s="35">
        <v>46136</v>
      </c>
      <c r="M93" s="36">
        <v>0.4375</v>
      </c>
      <c r="N93" s="33" t="s">
        <v>41</v>
      </c>
      <c r="O93" s="33" t="s">
        <v>42</v>
      </c>
      <c r="P93" s="33">
        <v>1</v>
      </c>
      <c r="Q93" s="33"/>
      <c r="R93" s="33" t="s">
        <v>176</v>
      </c>
      <c r="S93" s="33" t="s">
        <v>44</v>
      </c>
      <c r="T93" s="33">
        <v>0</v>
      </c>
      <c r="U93" s="33" t="s">
        <v>298</v>
      </c>
      <c r="V93" s="33" t="s">
        <v>299</v>
      </c>
      <c r="W93" s="33" t="s">
        <v>300</v>
      </c>
      <c r="X93" s="33"/>
      <c r="Y93" s="33"/>
      <c r="Z93" s="33"/>
      <c r="AA93" s="33">
        <v>1.4640234633226699E+24</v>
      </c>
      <c r="AB93" s="33" t="s">
        <v>46</v>
      </c>
    </row>
    <row r="94" spans="1:28" x14ac:dyDescent="0.25">
      <c r="A94" s="33">
        <v>14552403623</v>
      </c>
      <c r="B94" s="34">
        <v>46108.550034722219</v>
      </c>
      <c r="C94" s="33" t="s">
        <v>106</v>
      </c>
      <c r="D94" s="33" t="s">
        <v>107</v>
      </c>
      <c r="E94" s="33" t="s">
        <v>108</v>
      </c>
      <c r="F94" s="33"/>
      <c r="G94" s="33" t="s">
        <v>109</v>
      </c>
      <c r="H94" s="33" t="s">
        <v>53</v>
      </c>
      <c r="I94" s="33" t="s">
        <v>36</v>
      </c>
      <c r="J94" s="33" t="s">
        <v>37</v>
      </c>
      <c r="K94" s="33">
        <v>1985023781566</v>
      </c>
      <c r="L94" s="35">
        <v>46136</v>
      </c>
      <c r="M94" s="36">
        <v>0.4375</v>
      </c>
      <c r="N94" s="33" t="s">
        <v>41</v>
      </c>
      <c r="O94" s="33" t="s">
        <v>42</v>
      </c>
      <c r="P94" s="33">
        <v>1</v>
      </c>
      <c r="Q94" s="33"/>
      <c r="R94" s="33" t="s">
        <v>43</v>
      </c>
      <c r="S94" s="33" t="s">
        <v>44</v>
      </c>
      <c r="T94" s="33">
        <v>0</v>
      </c>
      <c r="U94" s="33" t="s">
        <v>106</v>
      </c>
      <c r="V94" s="33" t="s">
        <v>107</v>
      </c>
      <c r="W94" s="33" t="s">
        <v>108</v>
      </c>
      <c r="X94" s="33"/>
      <c r="Y94" s="33"/>
      <c r="Z94" s="33"/>
      <c r="AA94" s="33">
        <v>1.4552403623226501E+24</v>
      </c>
      <c r="AB94" s="33" t="s">
        <v>46</v>
      </c>
    </row>
    <row r="95" spans="1:28" x14ac:dyDescent="0.25">
      <c r="A95" s="33">
        <v>14623360983</v>
      </c>
      <c r="B95" s="34">
        <v>46119.464675925927</v>
      </c>
      <c r="C95" s="33" t="s">
        <v>214</v>
      </c>
      <c r="D95" s="33" t="s">
        <v>215</v>
      </c>
      <c r="E95" s="33" t="s">
        <v>216</v>
      </c>
      <c r="F95" s="33"/>
      <c r="G95" s="33" t="s">
        <v>52</v>
      </c>
      <c r="H95" s="33" t="s">
        <v>53</v>
      </c>
      <c r="I95" s="33" t="s">
        <v>36</v>
      </c>
      <c r="J95" s="33" t="s">
        <v>37</v>
      </c>
      <c r="K95" s="33">
        <v>1985023781566</v>
      </c>
      <c r="L95" s="35">
        <v>46136</v>
      </c>
      <c r="M95" s="36">
        <v>0.4375</v>
      </c>
      <c r="N95" s="33" t="s">
        <v>41</v>
      </c>
      <c r="O95" s="33" t="s">
        <v>42</v>
      </c>
      <c r="P95" s="33">
        <v>1</v>
      </c>
      <c r="Q95" s="33"/>
      <c r="R95" s="33" t="s">
        <v>54</v>
      </c>
      <c r="S95" s="33" t="s">
        <v>44</v>
      </c>
      <c r="T95" s="33">
        <v>0</v>
      </c>
      <c r="U95" s="33" t="s">
        <v>214</v>
      </c>
      <c r="V95" s="33" t="s">
        <v>215</v>
      </c>
      <c r="W95" s="33" t="s">
        <v>216</v>
      </c>
      <c r="X95" s="33"/>
      <c r="Y95" s="33"/>
      <c r="Z95" s="33"/>
      <c r="AA95" s="33">
        <v>1.46233609832266E+24</v>
      </c>
      <c r="AB95" s="33" t="s">
        <v>46</v>
      </c>
    </row>
    <row r="96" spans="1:28" x14ac:dyDescent="0.25">
      <c r="A96" s="33">
        <v>14642390473</v>
      </c>
      <c r="B96" s="34">
        <v>46121.754849537036</v>
      </c>
      <c r="C96" s="33" t="s">
        <v>304</v>
      </c>
      <c r="D96" s="33" t="s">
        <v>305</v>
      </c>
      <c r="E96" s="33" t="s">
        <v>306</v>
      </c>
      <c r="F96" s="33"/>
      <c r="G96" s="33" t="s">
        <v>52</v>
      </c>
      <c r="H96" s="33" t="s">
        <v>53</v>
      </c>
      <c r="I96" s="33" t="s">
        <v>36</v>
      </c>
      <c r="J96" s="33" t="s">
        <v>37</v>
      </c>
      <c r="K96" s="33">
        <v>1985023781566</v>
      </c>
      <c r="L96" s="35">
        <v>46136</v>
      </c>
      <c r="M96" s="36">
        <v>0.4375</v>
      </c>
      <c r="N96" s="33" t="s">
        <v>41</v>
      </c>
      <c r="O96" s="33" t="s">
        <v>42</v>
      </c>
      <c r="P96" s="33">
        <v>1</v>
      </c>
      <c r="Q96" s="33"/>
      <c r="R96" s="33" t="s">
        <v>54</v>
      </c>
      <c r="S96" s="33" t="s">
        <v>44</v>
      </c>
      <c r="T96" s="33">
        <v>0</v>
      </c>
      <c r="U96" s="33" t="s">
        <v>304</v>
      </c>
      <c r="V96" s="33" t="s">
        <v>305</v>
      </c>
      <c r="W96" s="33" t="s">
        <v>306</v>
      </c>
      <c r="X96" s="33"/>
      <c r="Y96" s="33"/>
      <c r="Z96" s="33"/>
      <c r="AA96" s="33">
        <v>1.46423904732267E+24</v>
      </c>
      <c r="AB96" s="33" t="s">
        <v>46</v>
      </c>
    </row>
    <row r="97" spans="1:28" x14ac:dyDescent="0.25">
      <c r="A97" s="37" t="s">
        <v>556</v>
      </c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>
        <v>95</v>
      </c>
      <c r="Q97" s="37"/>
      <c r="R97" s="37"/>
      <c r="S97" s="37"/>
      <c r="T97" s="37">
        <v>2375</v>
      </c>
      <c r="U97" s="37"/>
      <c r="V97" s="37"/>
      <c r="W97" s="37"/>
      <c r="X97" s="37"/>
      <c r="Y97" s="37"/>
      <c r="Z97" s="37"/>
      <c r="AA97" s="37"/>
      <c r="AB97" s="37"/>
    </row>
  </sheetData>
  <autoFilter ref="A1:AB97" xr:uid="{60EE635D-130E-45CB-BAFB-4ED146C82BF8}">
    <sortState xmlns:xlrd2="http://schemas.microsoft.com/office/spreadsheetml/2017/richdata2" ref="A10:AB85">
      <sortCondition ref="D1:D97"/>
    </sortState>
  </autoFilter>
  <conditionalFormatting sqref="U30">
    <cfRule type="duplicateValues" dxfId="1" priority="2"/>
  </conditionalFormatting>
  <conditionalFormatting sqref="V1:V1048576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0416 night snapshot</vt:lpstr>
      <vt:lpstr>0415 snapshot</vt:lpstr>
      <vt:lpstr>0416 snapshot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2026-04-16T03:24:35Z</dcterms:created>
  <dcterms:modified xsi:type="dcterms:W3CDTF">2026-04-17T04:58:17Z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7f934f-5383-4a4c-9722-3a8c30f10e24_Enabled">
    <vt:lpwstr>true</vt:lpwstr>
  </property>
  <property fmtid="{D5CDD505-2E9C-101B-9397-08002B2CF9AE}" pid="3" name="MSIP_Label_747f934f-5383-4a4c-9722-3a8c30f10e24_SetDate">
    <vt:lpwstr>2026-04-16T03:36:54Z</vt:lpwstr>
  </property>
  <property fmtid="{D5CDD505-2E9C-101B-9397-08002B2CF9AE}" pid="4" name="MSIP_Label_747f934f-5383-4a4c-9722-3a8c30f10e24_Method">
    <vt:lpwstr>Standard</vt:lpwstr>
  </property>
  <property fmtid="{D5CDD505-2E9C-101B-9397-08002B2CF9AE}" pid="5" name="MSIP_Label_747f934f-5383-4a4c-9722-3a8c30f10e24_Name">
    <vt:lpwstr>Public</vt:lpwstr>
  </property>
  <property fmtid="{D5CDD505-2E9C-101B-9397-08002B2CF9AE}" pid="6" name="MSIP_Label_747f934f-5383-4a4c-9722-3a8c30f10e24_SiteId">
    <vt:lpwstr>a746f28d-d05f-4510-82c7-78d250c008ca</vt:lpwstr>
  </property>
  <property fmtid="{D5CDD505-2E9C-101B-9397-08002B2CF9AE}" pid="7" name="MSIP_Label_747f934f-5383-4a4c-9722-3a8c30f10e24_ActionId">
    <vt:lpwstr>72800e4b-f6a7-4e26-937b-45e55b7167e9</vt:lpwstr>
  </property>
  <property fmtid="{D5CDD505-2E9C-101B-9397-08002B2CF9AE}" pid="8" name="MSIP_Label_747f934f-5383-4a4c-9722-3a8c30f10e24_ContentBits">
    <vt:lpwstr>0</vt:lpwstr>
  </property>
  <property fmtid="{D5CDD505-2E9C-101B-9397-08002B2CF9AE}" pid="9" name="MSIP_Label_747f934f-5383-4a4c-9722-3a8c30f10e24_Tag">
    <vt:lpwstr>10, 3, 0, 1</vt:lpwstr>
  </property>
</Properties>
</file>